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YRPM\"/>
    </mc:Choice>
  </mc:AlternateContent>
  <xr:revisionPtr revIDLastSave="0" documentId="13_ncr:1_{A6E9FF9D-7C7E-48DA-BD3A-FE363B7693D6}" xr6:coauthVersionLast="47" xr6:coauthVersionMax="47" xr10:uidLastSave="{00000000-0000-0000-0000-000000000000}"/>
  <bookViews>
    <workbookView xWindow="-108" yWindow="-108" windowWidth="23256" windowHeight="13896" xr2:uid="{5FED1664-12D0-474C-8C03-435DEB5E8C51}"/>
  </bookViews>
  <sheets>
    <sheet name="工程預算書" sheetId="1" r:id="rId1"/>
  </sheets>
  <externalReferences>
    <externalReference r:id="rId2"/>
  </externalReferences>
  <definedNames>
    <definedName name="_1_2" localSheetId="0">#REF!</definedName>
    <definedName name="_1_2">#REF!</definedName>
    <definedName name="_1000V_XLPE" localSheetId="0">#REF!</definedName>
    <definedName name="_1000V_XLPE">#REF!</definedName>
    <definedName name="_25kV_XLPE">#REF!</definedName>
    <definedName name="_600_XLPE">#REF!</definedName>
    <definedName name="_600V_XLPE">#REF!</definedName>
    <definedName name="C型鋼">[1]!C型鋼規格表[[#All],[規格]]</definedName>
    <definedName name="EMT管">#REF!</definedName>
    <definedName name="_xlnm.Print_Area" localSheetId="0">工程預算書!$A$1:$O$133</definedName>
    <definedName name="_xlnm.Print_Titles" localSheetId="0">工程預算書!$1:$6</definedName>
    <definedName name="PV_Cable" localSheetId="0">#REF!</definedName>
    <definedName name="PV_Cable">#REF!</definedName>
    <definedName name="PVC_Cable" localSheetId="0">#REF!</definedName>
    <definedName name="PVC_Cable">#REF!</definedName>
    <definedName name="PVC管" localSheetId="0">#REF!</definedName>
    <definedName name="PVC管">#REF!</definedName>
    <definedName name="RH型鋼">[1]!RH型鋼規格表[[#All],[欄2]]</definedName>
    <definedName name="RSG管">#REF!</definedName>
    <definedName name="不等邊方型鋼">[1]!不等邊方型鋼規格表[[#All],[規格]]</definedName>
    <definedName name="不鏽鋼管">#REF!</definedName>
    <definedName name="加工類">[1]!物料分類表[加工類]</definedName>
    <definedName name="交通類">[1]!物料分類表[交通類]</definedName>
    <definedName name="我">#REF!</definedName>
    <definedName name="尚未分類">[1]!物料分類表[尚未分類]</definedName>
    <definedName name="板材">[1]!板材規格表[[#All],[規格]]</definedName>
    <definedName name="表面處理">[1]!表面處理規格表[[#All],[規格]]</definedName>
    <definedName name="金屬材料類">[1]!物料分類表[金屬材料類]</definedName>
    <definedName name="堆高機">#REF!</definedName>
    <definedName name="密閉式線槽">#REF!</definedName>
    <definedName name="清洗管路">#REF!</definedName>
    <definedName name="球塞閥">#REF!</definedName>
    <definedName name="等邊方型鋼">[1]!等邊方型鋼規格表[[#All],[規格]]</definedName>
    <definedName name="等邊角鐵">[1]!等邊角鐵規格表[規格]</definedName>
    <definedName name="開放式線架">#REF!</definedName>
    <definedName name="電工材料類">[1]!物料分類表[電工材料類]</definedName>
    <definedName name="緊固件類">[1]!物料分類表[緊固件類]</definedName>
    <definedName name="鋼構鋼材類">[1]!物料分類表[鋼構鋼材類]</definedName>
    <definedName name="雜配件類">[1]!物料分類表[雜配件類]</definedName>
    <definedName name="變流器">#REF!</definedName>
    <definedName name="變流器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8" i="1" l="1"/>
  <c r="M115" i="1"/>
  <c r="L115" i="1"/>
  <c r="M114" i="1"/>
  <c r="L114" i="1"/>
  <c r="M113" i="1"/>
  <c r="L113" i="1"/>
  <c r="M112" i="1"/>
  <c r="L112" i="1"/>
  <c r="M111" i="1"/>
  <c r="L111" i="1"/>
  <c r="M110" i="1"/>
  <c r="L110" i="1"/>
  <c r="F110" i="1"/>
  <c r="F105" i="1" s="1"/>
  <c r="M109" i="1"/>
  <c r="L109" i="1"/>
  <c r="M108" i="1"/>
  <c r="L108" i="1"/>
  <c r="F108" i="1"/>
  <c r="M107" i="1"/>
  <c r="L107" i="1"/>
  <c r="F107" i="1"/>
  <c r="M106" i="1"/>
  <c r="L106" i="1"/>
  <c r="F102" i="1"/>
  <c r="F101" i="1"/>
  <c r="F100" i="1"/>
  <c r="F99" i="1"/>
  <c r="F98" i="1"/>
  <c r="F97" i="1"/>
  <c r="F92" i="1"/>
  <c r="F94" i="1" s="1"/>
  <c r="F91" i="1"/>
  <c r="F90" i="1"/>
  <c r="F89" i="1"/>
  <c r="F88" i="1"/>
  <c r="F87" i="1"/>
  <c r="F86" i="1"/>
  <c r="F68" i="1"/>
  <c r="F65" i="1"/>
  <c r="F62" i="1"/>
  <c r="F83" i="1" s="1"/>
  <c r="F59" i="1" s="1"/>
  <c r="F56" i="1"/>
  <c r="F55" i="1"/>
  <c r="F58" i="1" s="1"/>
  <c r="F52" i="1" s="1"/>
  <c r="F49" i="1"/>
  <c r="F48" i="1"/>
  <c r="F51" i="1" s="1"/>
  <c r="F46" i="1" s="1"/>
  <c r="F43" i="1"/>
  <c r="F42" i="1"/>
  <c r="F41" i="1"/>
  <c r="F40" i="1"/>
  <c r="F39" i="1"/>
  <c r="F34" i="1"/>
  <c r="F33" i="1"/>
  <c r="F32" i="1"/>
  <c r="F31" i="1"/>
  <c r="F36" i="1" s="1"/>
  <c r="F29" i="1" s="1"/>
  <c r="F26" i="1"/>
  <c r="F25" i="1"/>
  <c r="F24" i="1"/>
  <c r="F23" i="1"/>
  <c r="F22" i="1"/>
  <c r="F21" i="1"/>
  <c r="F20" i="1"/>
  <c r="F19" i="1"/>
  <c r="F18" i="1"/>
  <c r="F17" i="1"/>
  <c r="F16" i="1"/>
  <c r="C16" i="1"/>
  <c r="F15" i="1"/>
  <c r="F14" i="1"/>
  <c r="F13" i="1"/>
  <c r="F12" i="1"/>
  <c r="F11" i="1"/>
  <c r="F10" i="1"/>
  <c r="F9" i="1"/>
  <c r="F28" i="1" l="1"/>
  <c r="F104" i="1"/>
  <c r="F95" i="1" s="1"/>
  <c r="F45" i="1"/>
  <c r="F111" i="1"/>
  <c r="F122" i="1" s="1"/>
  <c r="F124" i="1" s="1"/>
</calcChain>
</file>

<file path=xl/sharedStrings.xml><?xml version="1.0" encoding="utf-8"?>
<sst xmlns="http://schemas.openxmlformats.org/spreadsheetml/2006/main" count="272" uniqueCount="151">
  <si>
    <r>
      <t xml:space="preserve">               </t>
    </r>
    <r>
      <rPr>
        <b/>
        <sz val="28"/>
        <rFont val="微軟正黑體"/>
        <family val="2"/>
        <charset val="136"/>
      </rPr>
      <t>工　程　預　算　書</t>
    </r>
    <phoneticPr fontId="4" type="noConversion"/>
  </si>
  <si>
    <t>業主：</t>
    <phoneticPr fontId="4" type="noConversion"/>
  </si>
  <si>
    <t>工程地點：</t>
    <phoneticPr fontId="12" type="noConversion"/>
  </si>
  <si>
    <t>REV：</t>
    <phoneticPr fontId="4" type="noConversion"/>
  </si>
  <si>
    <t>V1.0</t>
    <phoneticPr fontId="4" type="noConversion"/>
  </si>
  <si>
    <t>工程名稱：</t>
    <phoneticPr fontId="4" type="noConversion"/>
  </si>
  <si>
    <t>製表日期：</t>
    <phoneticPr fontId="4" type="noConversion"/>
  </si>
  <si>
    <t>設置容量：</t>
    <phoneticPr fontId="4" type="noConversion"/>
  </si>
  <si>
    <t>製表人：</t>
    <phoneticPr fontId="12" type="noConversion"/>
  </si>
  <si>
    <t>壹</t>
    <phoneticPr fontId="4" type="noConversion"/>
  </si>
  <si>
    <t>鋼構工程</t>
    <phoneticPr fontId="12" type="noConversion"/>
  </si>
  <si>
    <t>項次</t>
  </si>
  <si>
    <t xml:space="preserve">內   容   及   說   明 </t>
  </si>
  <si>
    <t>單位</t>
  </si>
  <si>
    <t>數 量</t>
  </si>
  <si>
    <t>單  價</t>
  </si>
  <si>
    <t>總   價</t>
  </si>
  <si>
    <t>備    註</t>
  </si>
  <si>
    <t>RH型鋼材料費用</t>
    <phoneticPr fontId="4" type="noConversion"/>
  </si>
  <si>
    <t>kg</t>
    <phoneticPr fontId="12" type="noConversion"/>
  </si>
  <si>
    <t>接合及連接板</t>
    <phoneticPr fontId="4" type="noConversion"/>
  </si>
  <si>
    <t>RH型鋼加工費(含一次加工,料損)</t>
    <phoneticPr fontId="4" type="noConversion"/>
  </si>
  <si>
    <t>RH型鋼二次加工費</t>
    <phoneticPr fontId="4" type="noConversion"/>
  </si>
  <si>
    <t>RH型鋼鍍鋅費用</t>
    <phoneticPr fontId="4" type="noConversion"/>
  </si>
  <si>
    <t>高張力螺絲</t>
    <phoneticPr fontId="4" type="noConversion"/>
  </si>
  <si>
    <t>組</t>
    <phoneticPr fontId="12" type="noConversion"/>
  </si>
  <si>
    <t>C型鋼材料費</t>
    <phoneticPr fontId="4" type="noConversion"/>
  </si>
  <si>
    <t>C型鋼鍍鋅費用</t>
    <phoneticPr fontId="4" type="noConversion"/>
  </si>
  <si>
    <t>C型鋼魚尾螺絲</t>
    <phoneticPr fontId="4" type="noConversion"/>
  </si>
  <si>
    <t>鋼構運輸費用</t>
    <phoneticPr fontId="4" type="noConversion"/>
  </si>
  <si>
    <t>kg</t>
  </si>
  <si>
    <t>鋼柱無收縮水泥</t>
    <phoneticPr fontId="4" type="noConversion"/>
  </si>
  <si>
    <t>座</t>
    <phoneticPr fontId="12" type="noConversion"/>
  </si>
  <si>
    <t>基礎螺絲</t>
    <phoneticPr fontId="4" type="noConversion"/>
  </si>
  <si>
    <t>植筋膠</t>
    <phoneticPr fontId="4" type="noConversion"/>
  </si>
  <si>
    <t>支</t>
    <phoneticPr fontId="4" type="noConversion"/>
  </si>
  <si>
    <t>爬梯</t>
    <phoneticPr fontId="4" type="noConversion"/>
  </si>
  <si>
    <t>座</t>
    <phoneticPr fontId="4" type="noConversion"/>
  </si>
  <si>
    <t>米數：</t>
    <phoneticPr fontId="12" type="noConversion"/>
  </si>
  <si>
    <t>爬梯安裝吊車</t>
    <phoneticPr fontId="4" type="noConversion"/>
  </si>
  <si>
    <t>式</t>
    <phoneticPr fontId="4" type="noConversion"/>
  </si>
  <si>
    <t>鋼構組立</t>
    <phoneticPr fontId="4" type="noConversion"/>
  </si>
  <si>
    <t>kWp</t>
    <phoneticPr fontId="4" type="noConversion"/>
  </si>
  <si>
    <t>五金另料</t>
    <phoneticPr fontId="4" type="noConversion"/>
  </si>
  <si>
    <t>機具費</t>
  </si>
  <si>
    <t>kWp</t>
  </si>
  <si>
    <t>樓高：</t>
    <phoneticPr fontId="12" type="noConversion"/>
  </si>
  <si>
    <t>小計</t>
    <phoneticPr fontId="4" type="noConversion"/>
  </si>
  <si>
    <t>貳</t>
    <phoneticPr fontId="4" type="noConversion"/>
  </si>
  <si>
    <t>浪板工程</t>
    <phoneticPr fontId="12" type="noConversion"/>
  </si>
  <si>
    <t>清浪板(0.5mm)</t>
    <phoneticPr fontId="4" type="noConversion"/>
  </si>
  <si>
    <t>坪</t>
    <phoneticPr fontId="4" type="noConversion"/>
  </si>
  <si>
    <t>中脊與包邊</t>
  </si>
  <si>
    <t>呎</t>
    <phoneticPr fontId="4" type="noConversion"/>
  </si>
  <si>
    <t>白鐵水槽+PVC排水管</t>
    <phoneticPr fontId="4" type="noConversion"/>
  </si>
  <si>
    <t>浪板吊運費</t>
    <phoneticPr fontId="4" type="noConversion"/>
  </si>
  <si>
    <t>參</t>
    <phoneticPr fontId="4" type="noConversion"/>
  </si>
  <si>
    <t>鋁擠支架及模組鋪設工程</t>
    <phoneticPr fontId="12" type="noConversion"/>
  </si>
  <si>
    <t>鋁支架材料費(含中壓.側壓.小五金)</t>
    <phoneticPr fontId="4" type="noConversion"/>
  </si>
  <si>
    <t>鋁支架吊運費</t>
    <phoneticPr fontId="4" type="noConversion"/>
  </si>
  <si>
    <t>支架安裝+模組鋪設</t>
    <phoneticPr fontId="4" type="noConversion"/>
  </si>
  <si>
    <t>圍籬-安全母索立柱(角鐵)+繩</t>
    <phoneticPr fontId="4" type="noConversion"/>
  </si>
  <si>
    <t>M</t>
    <phoneticPr fontId="4" type="noConversion"/>
  </si>
  <si>
    <t>維修步道(角鐵鋼材料+菱形擴張網+母索)</t>
    <phoneticPr fontId="4" type="noConversion"/>
  </si>
  <si>
    <t>肆</t>
    <phoneticPr fontId="4" type="noConversion"/>
  </si>
  <si>
    <t>土建工程</t>
    <phoneticPr fontId="12" type="noConversion"/>
  </si>
  <si>
    <t>場鑄獨立基礎-含工帶料</t>
    <phoneticPr fontId="4" type="noConversion"/>
  </si>
  <si>
    <t>水泥切割+開挖處復原</t>
    <phoneticPr fontId="4" type="noConversion"/>
  </si>
  <si>
    <r>
      <rPr>
        <sz val="9"/>
        <rFont val="微軟正黑體"/>
        <family val="2"/>
        <charset val="136"/>
      </rPr>
      <t>座</t>
    </r>
    <phoneticPr fontId="4" type="noConversion"/>
  </si>
  <si>
    <t>小計</t>
  </si>
  <si>
    <t>伍</t>
    <phoneticPr fontId="4" type="noConversion"/>
  </si>
  <si>
    <t>設備類</t>
    <phoneticPr fontId="12" type="noConversion"/>
  </si>
  <si>
    <t>單晶矽太陽能模組</t>
    <phoneticPr fontId="4" type="noConversion"/>
  </si>
  <si>
    <t>VSUN590N-144BMH-DG</t>
    <phoneticPr fontId="4" type="noConversion"/>
  </si>
  <si>
    <t>片</t>
    <phoneticPr fontId="4" type="noConversion"/>
  </si>
  <si>
    <t>逆變器</t>
    <phoneticPr fontId="4" type="noConversion"/>
  </si>
  <si>
    <t>小計</t>
    <phoneticPr fontId="12" type="noConversion"/>
  </si>
  <si>
    <t>陸</t>
    <phoneticPr fontId="4" type="noConversion"/>
  </si>
  <si>
    <t>機電盤體工程</t>
    <phoneticPr fontId="12" type="noConversion"/>
  </si>
  <si>
    <t>低壓盤體</t>
    <phoneticPr fontId="4" type="noConversion"/>
  </si>
  <si>
    <t>kWH箱</t>
    <phoneticPr fontId="4" type="noConversion"/>
  </si>
  <si>
    <t>kWp</t>
    <phoneticPr fontId="12" type="noConversion"/>
  </si>
  <si>
    <t>AC盤</t>
    <phoneticPr fontId="4" type="noConversion"/>
  </si>
  <si>
    <t>DC盤</t>
    <phoneticPr fontId="12" type="noConversion"/>
  </si>
  <si>
    <t>監控箱
(含日照溫度SENSER.錶頭.AUO資料搜集器)</t>
    <phoneticPr fontId="4" type="noConversion"/>
  </si>
  <si>
    <t>只</t>
    <phoneticPr fontId="12" type="noConversion"/>
  </si>
  <si>
    <t>高壓盤體</t>
    <phoneticPr fontId="4" type="noConversion"/>
  </si>
  <si>
    <t>DS   PANEL</t>
  </si>
  <si>
    <t>MOF   PANEL</t>
  </si>
  <si>
    <t>GPT   PANEL</t>
  </si>
  <si>
    <t>VCB   PANEL</t>
  </si>
  <si>
    <t>TR</t>
  </si>
  <si>
    <t>MAC</t>
  </si>
  <si>
    <t>接地箱</t>
  </si>
  <si>
    <t xml:space="preserve">台電DREAMS+監控平台 </t>
    <phoneticPr fontId="4" type="noConversion"/>
  </si>
  <si>
    <t>基礎台</t>
    <phoneticPr fontId="12" type="noConversion"/>
  </si>
  <si>
    <t>方</t>
    <phoneticPr fontId="12" type="noConversion"/>
  </si>
  <si>
    <t>逆變器雨遮及支架</t>
    <phoneticPr fontId="4" type="noConversion"/>
  </si>
  <si>
    <t>台</t>
    <phoneticPr fontId="4" type="noConversion"/>
  </si>
  <si>
    <t>運輸費用</t>
    <phoneticPr fontId="4" type="noConversion"/>
  </si>
  <si>
    <t>吊運費</t>
    <phoneticPr fontId="12" type="noConversion"/>
  </si>
  <si>
    <t>柒</t>
    <phoneticPr fontId="4" type="noConversion"/>
  </si>
  <si>
    <t>機電配管線工程</t>
    <phoneticPr fontId="12" type="noConversion"/>
  </si>
  <si>
    <t>電線電纜</t>
    <phoneticPr fontId="12" type="noConversion"/>
  </si>
  <si>
    <t>管材+鋁線槽</t>
    <phoneticPr fontId="12" type="noConversion"/>
  </si>
  <si>
    <t>角鋼、金屬軟管、接地線、大小五金另料</t>
    <phoneticPr fontId="12" type="noConversion"/>
  </si>
  <si>
    <t>接地系統</t>
    <phoneticPr fontId="4" type="noConversion"/>
  </si>
  <si>
    <t>開挖埋管</t>
    <phoneticPr fontId="4" type="noConversion"/>
  </si>
  <si>
    <t>米</t>
    <phoneticPr fontId="12" type="noConversion"/>
  </si>
  <si>
    <t>機電安裝工資</t>
    <phoneticPr fontId="4" type="noConversion"/>
  </si>
  <si>
    <t>高壓段工資</t>
    <phoneticPr fontId="12" type="noConversion"/>
  </si>
  <si>
    <t>捌</t>
    <phoneticPr fontId="4" type="noConversion"/>
  </si>
  <si>
    <t>簽證及各類文件申請跑件</t>
    <phoneticPr fontId="12" type="noConversion"/>
  </si>
  <si>
    <t>機電技師簽證費</t>
    <phoneticPr fontId="4" type="noConversion"/>
  </si>
  <si>
    <t>結構技師簽證費</t>
    <phoneticPr fontId="12" type="noConversion"/>
  </si>
  <si>
    <t>台電公部門跑照費</t>
    <phoneticPr fontId="4" type="noConversion"/>
  </si>
  <si>
    <t>高壓審查費</t>
    <phoneticPr fontId="4" type="noConversion"/>
  </si>
  <si>
    <t>容許送件</t>
    <phoneticPr fontId="4" type="noConversion"/>
  </si>
  <si>
    <t>結構技師簽證</t>
    <phoneticPr fontId="12" type="noConversion"/>
  </si>
  <si>
    <t>空汙費</t>
    <phoneticPr fontId="12" type="noConversion"/>
  </si>
  <si>
    <t>朱技師　適用2000kWp以下</t>
    <phoneticPr fontId="12" type="noConversion"/>
  </si>
  <si>
    <t>費用</t>
    <phoneticPr fontId="12" type="noConversion"/>
  </si>
  <si>
    <t>大跨距報價</t>
    <phoneticPr fontId="12" type="noConversion"/>
  </si>
  <si>
    <t>-</t>
    <phoneticPr fontId="12" type="noConversion"/>
  </si>
  <si>
    <t>玖</t>
    <phoneticPr fontId="4" type="noConversion"/>
  </si>
  <si>
    <t>其他及假設工程</t>
    <phoneticPr fontId="12" type="noConversion"/>
  </si>
  <si>
    <t>清運費</t>
    <phoneticPr fontId="4" type="noConversion"/>
  </si>
  <si>
    <t>甲種圍籬</t>
    <phoneticPr fontId="4" type="noConversion"/>
  </si>
  <si>
    <t>501WP以上:
每多100kWp多4000</t>
    <phoneticPr fontId="12" type="noConversion"/>
  </si>
  <si>
    <t>壹-玖</t>
    <phoneticPr fontId="4" type="noConversion"/>
  </si>
  <si>
    <t>總計</t>
    <phoneticPr fontId="12" type="noConversion"/>
  </si>
  <si>
    <t>拾</t>
    <phoneticPr fontId="4" type="noConversion"/>
  </si>
  <si>
    <t>管理費</t>
    <phoneticPr fontId="12" type="noConversion"/>
  </si>
  <si>
    <t>工程保險0.8%</t>
    <phoneticPr fontId="4" type="noConversion"/>
  </si>
  <si>
    <t>式</t>
    <phoneticPr fontId="12" type="noConversion"/>
  </si>
  <si>
    <t>工程保固1%</t>
    <phoneticPr fontId="4" type="noConversion"/>
  </si>
  <si>
    <t>內部管銷5%</t>
    <phoneticPr fontId="12" type="noConversion"/>
  </si>
  <si>
    <t>工程設計技術整合費1%</t>
    <phoneticPr fontId="4" type="noConversion"/>
  </si>
  <si>
    <t>雜項費用2%</t>
    <phoneticPr fontId="4" type="noConversion"/>
  </si>
  <si>
    <t>總計(未稅)</t>
  </si>
  <si>
    <t>總價/kWp</t>
    <phoneticPr fontId="4" type="noConversion"/>
  </si>
  <si>
    <t>總計(含稅)</t>
  </si>
  <si>
    <t>製表：</t>
    <phoneticPr fontId="12" type="noConversion"/>
  </si>
  <si>
    <t>設計：</t>
    <phoneticPr fontId="4" type="noConversion"/>
  </si>
  <si>
    <t>採購：</t>
    <phoneticPr fontId="4" type="noConversion"/>
  </si>
  <si>
    <t>業務：</t>
    <phoneticPr fontId="4" type="noConversion"/>
  </si>
  <si>
    <t>工務：</t>
    <phoneticPr fontId="4" type="noConversion"/>
  </si>
  <si>
    <t>業務主管：</t>
    <phoneticPr fontId="12" type="noConversion"/>
  </si>
  <si>
    <t>專管：</t>
    <phoneticPr fontId="4" type="noConversion"/>
  </si>
  <si>
    <t>總經理：</t>
    <phoneticPr fontId="12" type="noConversion"/>
  </si>
  <si>
    <t>會簽財務單位
(售前免簽)：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</si>
</sst>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&quot;$&quot;* #,##0.00_-;\-&quot;$&quot;* #,##0.00_-;_-&quot;$&quot;* &quot;-&quot;_-;_-@_-"/>
    <numFmt numFmtId="178" formatCode="0.00&quot; kWp&quot;"/>
    <numFmt numFmtId="179" formatCode="#,##0.00_);[Red]\(#,##0.00\)"/>
    <numFmt numFmtId="180" formatCode="#&quot;W&quot;"/>
    <numFmt numFmtId="181" formatCode="_-&quot;$&quot;* #,##0_-;\-&quot;$&quot;* #,##0_-;_-&quot;$&quot;* &quot;-&quot;??_-;_-@_-"/>
    <numFmt numFmtId="182" formatCode="0.00_);[Red]\(0.00\)"/>
  </numFmts>
  <fonts count="22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2"/>
      <name val="微軟正黑體"/>
      <family val="2"/>
      <charset val="136"/>
    </font>
    <font>
      <b/>
      <sz val="28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4"/>
      <name val="微軟正黑體"/>
      <family val="2"/>
      <charset val="136"/>
    </font>
    <font>
      <sz val="10"/>
      <name val="微軟正黑體"/>
      <family val="2"/>
      <charset val="136"/>
    </font>
    <font>
      <sz val="12"/>
      <name val="微軟正黑體"/>
      <family val="2"/>
      <charset val="136"/>
    </font>
    <font>
      <sz val="12"/>
      <name val="新細明體"/>
      <family val="2"/>
      <charset val="136"/>
      <scheme val="minor"/>
    </font>
    <font>
      <b/>
      <sz val="13"/>
      <name val="微軟正黑體"/>
      <family val="2"/>
      <charset val="136"/>
    </font>
    <font>
      <sz val="13"/>
      <name val="微軟正黑體"/>
      <family val="2"/>
      <charset val="136"/>
    </font>
    <font>
      <b/>
      <sz val="14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2"/>
      <name val="芫荽 0.94"/>
      <family val="3"/>
      <charset val="136"/>
    </font>
    <font>
      <b/>
      <sz val="12"/>
      <name val="芫荽 0.94"/>
      <family val="3"/>
      <charset val="136"/>
    </font>
    <font>
      <b/>
      <sz val="10"/>
      <name val="微軟正黑體"/>
      <family val="2"/>
      <charset val="136"/>
    </font>
    <font>
      <b/>
      <sz val="12"/>
      <name val="微軟正黑體"/>
      <family val="2"/>
      <charset val="136"/>
    </font>
    <font>
      <sz val="12"/>
      <name val="新細明體"/>
      <family val="1"/>
      <charset val="136"/>
    </font>
    <font>
      <sz val="14"/>
      <color theme="0"/>
      <name val="微軟正黑體"/>
      <family val="2"/>
      <charset val="136"/>
    </font>
    <font>
      <sz val="14"/>
      <color theme="7" tint="-0.249977111117893"/>
      <name val="微軟正黑體"/>
      <family val="2"/>
      <charset val="136"/>
    </font>
    <font>
      <sz val="9"/>
      <name val="微軟正黑體"/>
      <family val="2"/>
      <charset val="136"/>
    </font>
    <font>
      <sz val="12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7" fillId="0" borderId="0"/>
    <xf numFmtId="44" fontId="1" fillId="0" borderId="0" applyFont="0" applyFill="0" applyBorder="0" applyAlignment="0" applyProtection="0">
      <alignment vertical="center"/>
    </xf>
    <xf numFmtId="0" fontId="21" fillId="0" borderId="0"/>
  </cellStyleXfs>
  <cellXfs count="283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>
      <alignment vertical="center"/>
    </xf>
    <xf numFmtId="0" fontId="2" fillId="0" borderId="0" xfId="1" applyFont="1" applyAlignment="1">
      <alignment horizontal="right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0" xfId="1" applyFont="1">
      <alignment vertical="center"/>
    </xf>
    <xf numFmtId="0" fontId="8" fillId="0" borderId="0" xfId="1" applyFont="1">
      <alignment vertical="center"/>
    </xf>
    <xf numFmtId="0" fontId="9" fillId="0" borderId="0" xfId="1" applyFont="1" applyAlignment="1">
      <alignment horizontal="right" vertical="center" wrapText="1"/>
    </xf>
    <xf numFmtId="0" fontId="10" fillId="0" borderId="0" xfId="1" applyFont="1" applyAlignment="1">
      <alignment horizontal="left" vertical="center" wrapText="1"/>
    </xf>
    <xf numFmtId="0" fontId="11" fillId="0" borderId="0" xfId="1" applyFont="1" applyAlignment="1">
      <alignment horizontal="center" vertical="center" wrapText="1"/>
    </xf>
    <xf numFmtId="0" fontId="11" fillId="0" borderId="0" xfId="1" applyFont="1" applyAlignment="1">
      <alignment horizontal="right" vertical="center" wrapText="1"/>
    </xf>
    <xf numFmtId="176" fontId="11" fillId="0" borderId="0" xfId="1" applyNumberFormat="1" applyFont="1" applyAlignment="1">
      <alignment horizontal="center" vertical="center" wrapText="1"/>
    </xf>
    <xf numFmtId="0" fontId="5" fillId="0" borderId="0" xfId="1" applyFont="1" applyAlignment="1">
      <alignment horizontal="right" vertical="center" wrapText="1"/>
    </xf>
    <xf numFmtId="14" fontId="11" fillId="0" borderId="0" xfId="1" applyNumberFormat="1" applyFont="1" applyAlignment="1">
      <alignment horizontal="center" vertical="center" wrapText="1"/>
    </xf>
    <xf numFmtId="176" fontId="5" fillId="0" borderId="0" xfId="1" applyNumberFormat="1" applyFont="1" applyAlignment="1">
      <alignment horizontal="left" vertical="center" wrapText="1"/>
    </xf>
    <xf numFmtId="178" fontId="10" fillId="0" borderId="0" xfId="1" applyNumberFormat="1" applyFont="1" applyAlignment="1">
      <alignment horizontal="left" vertical="center" wrapText="1"/>
    </xf>
    <xf numFmtId="0" fontId="5" fillId="0" borderId="0" xfId="1" applyFont="1" applyAlignment="1">
      <alignment vertical="center" wrapText="1"/>
    </xf>
    <xf numFmtId="1" fontId="11" fillId="0" borderId="0" xfId="1" applyNumberFormat="1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2" xfId="1" applyFont="1" applyBorder="1" applyAlignment="1">
      <alignment vertical="center" wrapText="1"/>
    </xf>
    <xf numFmtId="0" fontId="5" fillId="0" borderId="2" xfId="1" applyFont="1" applyBorder="1" applyAlignment="1">
      <alignment horizontal="center" vertical="center" wrapText="1"/>
    </xf>
    <xf numFmtId="179" fontId="5" fillId="0" borderId="2" xfId="1" applyNumberFormat="1" applyFont="1" applyBorder="1" applyAlignment="1">
      <alignment horizontal="right" vertical="center" wrapText="1"/>
    </xf>
    <xf numFmtId="176" fontId="5" fillId="0" borderId="2" xfId="1" applyNumberFormat="1" applyFont="1" applyBorder="1" applyAlignment="1">
      <alignment horizontal="center" vertical="center" wrapText="1"/>
    </xf>
    <xf numFmtId="0" fontId="5" fillId="0" borderId="2" xfId="1" applyFont="1" applyBorder="1" applyAlignment="1">
      <alignment horizontal="right" vertical="center" wrapText="1"/>
    </xf>
    <xf numFmtId="0" fontId="5" fillId="0" borderId="3" xfId="1" applyFont="1" applyBorder="1" applyAlignment="1">
      <alignment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vertical="center" wrapText="1"/>
    </xf>
    <xf numFmtId="0" fontId="13" fillId="0" borderId="0" xfId="1" applyFont="1" applyAlignment="1">
      <alignment vertical="center" wrapText="1"/>
    </xf>
    <xf numFmtId="0" fontId="11" fillId="0" borderId="4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 wrapText="1"/>
    </xf>
    <xf numFmtId="179" fontId="11" fillId="0" borderId="5" xfId="1" applyNumberFormat="1" applyFont="1" applyBorder="1" applyAlignment="1">
      <alignment horizontal="center" vertical="center" wrapText="1"/>
    </xf>
    <xf numFmtId="176" fontId="11" fillId="0" borderId="5" xfId="1" applyNumberFormat="1" applyFont="1" applyBorder="1" applyAlignment="1">
      <alignment horizontal="center" vertical="center" wrapText="1"/>
    </xf>
    <xf numFmtId="0" fontId="11" fillId="0" borderId="6" xfId="1" applyFont="1" applyBorder="1" applyAlignment="1">
      <alignment horizontal="center" vertical="center" wrapText="1"/>
    </xf>
    <xf numFmtId="0" fontId="14" fillId="0" borderId="0" xfId="1" applyFont="1" applyAlignment="1">
      <alignment horizontal="center" vertical="center" wrapText="1"/>
    </xf>
    <xf numFmtId="0" fontId="15" fillId="0" borderId="0" xfId="1" applyFont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8" xfId="2" applyNumberFormat="1" applyFont="1" applyFill="1" applyBorder="1" applyAlignment="1">
      <alignment vertical="center" wrapText="1"/>
    </xf>
    <xf numFmtId="43" fontId="5" fillId="0" borderId="8" xfId="2" applyFont="1" applyFill="1" applyBorder="1" applyAlignment="1">
      <alignment horizontal="center" vertical="center"/>
    </xf>
    <xf numFmtId="179" fontId="5" fillId="0" borderId="8" xfId="3" applyNumberFormat="1" applyFont="1" applyBorder="1" applyAlignment="1">
      <alignment horizontal="right" vertical="center"/>
    </xf>
    <xf numFmtId="176" fontId="5" fillId="0" borderId="8" xfId="2" applyNumberFormat="1" applyFont="1" applyFill="1" applyBorder="1" applyAlignment="1">
      <alignment vertical="center" wrapText="1"/>
    </xf>
    <xf numFmtId="42" fontId="5" fillId="0" borderId="8" xfId="3" applyNumberFormat="1" applyFont="1" applyBorder="1" applyAlignment="1">
      <alignment horizontal="right" vertical="center" wrapText="1"/>
    </xf>
    <xf numFmtId="0" fontId="5" fillId="0" borderId="9" xfId="2" applyNumberFormat="1" applyFont="1" applyFill="1" applyBorder="1" applyAlignment="1">
      <alignment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11" xfId="2" applyNumberFormat="1" applyFont="1" applyFill="1" applyBorder="1" applyAlignment="1">
      <alignment vertical="center" wrapText="1"/>
    </xf>
    <xf numFmtId="43" fontId="5" fillId="0" borderId="11" xfId="2" applyFont="1" applyFill="1" applyBorder="1" applyAlignment="1">
      <alignment horizontal="center" vertical="center"/>
    </xf>
    <xf numFmtId="179" fontId="5" fillId="0" borderId="11" xfId="3" applyNumberFormat="1" applyFont="1" applyBorder="1" applyAlignment="1">
      <alignment horizontal="right" vertical="center"/>
    </xf>
    <xf numFmtId="42" fontId="5" fillId="0" borderId="11" xfId="3" applyNumberFormat="1" applyFont="1" applyBorder="1" applyAlignment="1">
      <alignment horizontal="right" vertical="center" wrapText="1"/>
    </xf>
    <xf numFmtId="0" fontId="5" fillId="0" borderId="12" xfId="2" applyNumberFormat="1" applyFont="1" applyFill="1" applyBorder="1" applyAlignment="1">
      <alignment vertical="center" wrapText="1"/>
    </xf>
    <xf numFmtId="0" fontId="5" fillId="0" borderId="11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12" xfId="1" applyFont="1" applyBorder="1" applyAlignment="1">
      <alignment vertical="center" wrapText="1"/>
    </xf>
    <xf numFmtId="0" fontId="5" fillId="0" borderId="14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180" fontId="5" fillId="0" borderId="11" xfId="1" applyNumberFormat="1" applyFont="1" applyBorder="1" applyAlignment="1">
      <alignment horizontal="left" vertical="center" wrapText="1"/>
    </xf>
    <xf numFmtId="0" fontId="5" fillId="2" borderId="16" xfId="1" applyFont="1" applyFill="1" applyBorder="1" applyAlignment="1">
      <alignment horizontal="center" vertical="center" wrapText="1"/>
    </xf>
    <xf numFmtId="0" fontId="5" fillId="2" borderId="17" xfId="2" applyNumberFormat="1" applyFont="1" applyFill="1" applyBorder="1" applyAlignment="1">
      <alignment vertical="center" wrapText="1"/>
    </xf>
    <xf numFmtId="43" fontId="5" fillId="2" borderId="17" xfId="2" applyFont="1" applyFill="1" applyBorder="1" applyAlignment="1">
      <alignment horizontal="center" vertical="center"/>
    </xf>
    <xf numFmtId="179" fontId="5" fillId="2" borderId="17" xfId="3" applyNumberFormat="1" applyFont="1" applyFill="1" applyBorder="1" applyAlignment="1">
      <alignment horizontal="right" vertical="center"/>
    </xf>
    <xf numFmtId="176" fontId="5" fillId="2" borderId="17" xfId="2" applyNumberFormat="1" applyFont="1" applyFill="1" applyBorder="1" applyAlignment="1">
      <alignment vertical="center" wrapText="1"/>
    </xf>
    <xf numFmtId="42" fontId="5" fillId="2" borderId="17" xfId="3" applyNumberFormat="1" applyFont="1" applyFill="1" applyBorder="1" applyAlignment="1">
      <alignment horizontal="right" vertical="center" wrapText="1"/>
    </xf>
    <xf numFmtId="0" fontId="5" fillId="2" borderId="18" xfId="1" applyFont="1" applyFill="1" applyBorder="1" applyAlignment="1">
      <alignment vertical="center" wrapText="1"/>
    </xf>
    <xf numFmtId="0" fontId="5" fillId="2" borderId="13" xfId="1" applyFont="1" applyFill="1" applyBorder="1" applyAlignment="1">
      <alignment horizontal="center" vertical="center" wrapText="1"/>
    </xf>
    <xf numFmtId="180" fontId="5" fillId="2" borderId="19" xfId="1" applyNumberFormat="1" applyFont="1" applyFill="1" applyBorder="1" applyAlignment="1">
      <alignment horizontal="left" vertical="center" wrapText="1"/>
    </xf>
    <xf numFmtId="0" fontId="5" fillId="2" borderId="20" xfId="1" applyFont="1" applyFill="1" applyBorder="1" applyAlignment="1">
      <alignment horizontal="center" vertical="center"/>
    </xf>
    <xf numFmtId="179" fontId="5" fillId="2" borderId="20" xfId="1" applyNumberFormat="1" applyFont="1" applyFill="1" applyBorder="1" applyAlignment="1">
      <alignment horizontal="right" vertical="center" wrapText="1"/>
    </xf>
    <xf numFmtId="176" fontId="5" fillId="2" borderId="20" xfId="2" applyNumberFormat="1" applyFont="1" applyFill="1" applyBorder="1" applyAlignment="1">
      <alignment horizontal="right" vertical="center" wrapText="1"/>
    </xf>
    <xf numFmtId="181" fontId="5" fillId="2" borderId="21" xfId="2" applyNumberFormat="1" applyFont="1" applyFill="1" applyBorder="1" applyAlignment="1">
      <alignment horizontal="right" vertical="center" wrapText="1"/>
    </xf>
    <xf numFmtId="181" fontId="5" fillId="2" borderId="15" xfId="1" applyNumberFormat="1" applyFont="1" applyFill="1" applyBorder="1" applyAlignment="1">
      <alignment horizontal="center" vertical="center" wrapText="1"/>
    </xf>
    <xf numFmtId="0" fontId="18" fillId="0" borderId="2" xfId="1" applyFont="1" applyBorder="1" applyAlignment="1">
      <alignment horizontal="right" vertical="center" wrapText="1"/>
    </xf>
    <xf numFmtId="0" fontId="5" fillId="2" borderId="10" xfId="1" applyFont="1" applyFill="1" applyBorder="1" applyAlignment="1">
      <alignment horizontal="center" vertical="center" wrapText="1"/>
    </xf>
    <xf numFmtId="180" fontId="5" fillId="2" borderId="11" xfId="1" applyNumberFormat="1" applyFont="1" applyFill="1" applyBorder="1" applyAlignment="1">
      <alignment horizontal="left" vertical="center" wrapText="1"/>
    </xf>
    <xf numFmtId="0" fontId="5" fillId="2" borderId="11" xfId="1" applyFont="1" applyFill="1" applyBorder="1" applyAlignment="1">
      <alignment horizontal="center" vertical="center" wrapText="1"/>
    </xf>
    <xf numFmtId="179" fontId="5" fillId="2" borderId="11" xfId="1" applyNumberFormat="1" applyFont="1" applyFill="1" applyBorder="1" applyAlignment="1">
      <alignment horizontal="right" vertical="center" wrapText="1"/>
    </xf>
    <xf numFmtId="176" fontId="5" fillId="2" borderId="11" xfId="2" applyNumberFormat="1" applyFont="1" applyFill="1" applyBorder="1" applyAlignment="1">
      <alignment horizontal="right" vertical="center" wrapText="1"/>
    </xf>
    <xf numFmtId="181" fontId="5" fillId="2" borderId="11" xfId="2" applyNumberFormat="1" applyFont="1" applyFill="1" applyBorder="1" applyAlignment="1">
      <alignment horizontal="right" vertical="center" wrapText="1"/>
    </xf>
    <xf numFmtId="0" fontId="5" fillId="2" borderId="12" xfId="1" applyFont="1" applyFill="1" applyBorder="1" applyAlignment="1">
      <alignment vertical="center" wrapText="1"/>
    </xf>
    <xf numFmtId="0" fontId="5" fillId="2" borderId="11" xfId="1" applyFont="1" applyFill="1" applyBorder="1" applyAlignment="1">
      <alignment horizontal="left" vertical="center" wrapText="1"/>
    </xf>
    <xf numFmtId="179" fontId="5" fillId="2" borderId="11" xfId="3" applyNumberFormat="1" applyFont="1" applyFill="1" applyBorder="1" applyAlignment="1">
      <alignment vertical="center"/>
    </xf>
    <xf numFmtId="180" fontId="5" fillId="2" borderId="12" xfId="1" applyNumberFormat="1" applyFont="1" applyFill="1" applyBorder="1" applyAlignment="1">
      <alignment horizontal="center" vertical="center" wrapText="1"/>
    </xf>
    <xf numFmtId="43" fontId="5" fillId="2" borderId="11" xfId="2" applyFont="1" applyFill="1" applyBorder="1" applyAlignment="1">
      <alignment horizontal="center" vertical="center"/>
    </xf>
    <xf numFmtId="179" fontId="5" fillId="2" borderId="11" xfId="3" applyNumberFormat="1" applyFont="1" applyFill="1" applyBorder="1" applyAlignment="1">
      <alignment horizontal="right" vertical="center"/>
    </xf>
    <xf numFmtId="182" fontId="5" fillId="2" borderId="12" xfId="1" applyNumberFormat="1" applyFont="1" applyFill="1" applyBorder="1" applyAlignment="1">
      <alignment horizontal="center" vertical="center" wrapText="1"/>
    </xf>
    <xf numFmtId="43" fontId="5" fillId="2" borderId="11" xfId="2" applyFont="1" applyFill="1" applyBorder="1" applyAlignment="1">
      <alignment horizontal="center" vertical="center" wrapText="1"/>
    </xf>
    <xf numFmtId="180" fontId="19" fillId="2" borderId="12" xfId="1" applyNumberFormat="1" applyFont="1" applyFill="1" applyBorder="1" applyAlignment="1">
      <alignment horizontal="left" vertical="center" wrapText="1"/>
    </xf>
    <xf numFmtId="0" fontId="5" fillId="0" borderId="11" xfId="1" applyFont="1" applyBorder="1" applyAlignment="1">
      <alignment horizontal="left" vertical="center" wrapText="1"/>
    </xf>
    <xf numFmtId="176" fontId="5" fillId="0" borderId="11" xfId="2" applyNumberFormat="1" applyFont="1" applyBorder="1" applyAlignment="1">
      <alignment horizontal="right" vertical="center" wrapText="1"/>
    </xf>
    <xf numFmtId="181" fontId="5" fillId="0" borderId="11" xfId="2" applyNumberFormat="1" applyFont="1" applyFill="1" applyBorder="1" applyAlignment="1">
      <alignment horizontal="right" vertical="center" wrapText="1"/>
    </xf>
    <xf numFmtId="180" fontId="5" fillId="0" borderId="12" xfId="1" applyNumberFormat="1" applyFont="1" applyBorder="1" applyAlignment="1">
      <alignment horizontal="left" vertical="center" wrapText="1"/>
    </xf>
    <xf numFmtId="0" fontId="5" fillId="0" borderId="22" xfId="1" applyFont="1" applyBorder="1" applyAlignment="1">
      <alignment horizontal="center" vertical="center" wrapText="1"/>
    </xf>
    <xf numFmtId="0" fontId="5" fillId="0" borderId="23" xfId="1" applyFont="1" applyBorder="1" applyAlignment="1">
      <alignment horizontal="left" vertical="center" wrapText="1"/>
    </xf>
    <xf numFmtId="0" fontId="5" fillId="0" borderId="23" xfId="1" applyFont="1" applyBorder="1" applyAlignment="1">
      <alignment horizontal="center" vertical="center" wrapText="1"/>
    </xf>
    <xf numFmtId="179" fontId="5" fillId="2" borderId="23" xfId="3" applyNumberFormat="1" applyFont="1" applyFill="1" applyBorder="1" applyAlignment="1">
      <alignment horizontal="right" vertical="center"/>
    </xf>
    <xf numFmtId="176" fontId="5" fillId="0" borderId="23" xfId="2" applyNumberFormat="1" applyFont="1" applyBorder="1" applyAlignment="1">
      <alignment horizontal="right" vertical="center" wrapText="1"/>
    </xf>
    <xf numFmtId="181" fontId="5" fillId="0" borderId="23" xfId="2" applyNumberFormat="1" applyFont="1" applyFill="1" applyBorder="1" applyAlignment="1">
      <alignment horizontal="right" vertical="center" wrapText="1"/>
    </xf>
    <xf numFmtId="180" fontId="5" fillId="0" borderId="24" xfId="1" applyNumberFormat="1" applyFont="1" applyBorder="1" applyAlignment="1">
      <alignment horizontal="left" vertical="center" wrapText="1"/>
    </xf>
    <xf numFmtId="180" fontId="5" fillId="0" borderId="14" xfId="1" applyNumberFormat="1" applyFont="1" applyBorder="1" applyAlignment="1">
      <alignment horizontal="left" vertical="center" wrapText="1"/>
    </xf>
    <xf numFmtId="0" fontId="5" fillId="0" borderId="14" xfId="1" applyFont="1" applyBorder="1" applyAlignment="1">
      <alignment horizontal="center" vertical="center"/>
    </xf>
    <xf numFmtId="179" fontId="5" fillId="0" borderId="14" xfId="1" applyNumberFormat="1" applyFont="1" applyBorder="1" applyAlignment="1">
      <alignment horizontal="right" vertical="center" wrapText="1"/>
    </xf>
    <xf numFmtId="176" fontId="5" fillId="0" borderId="14" xfId="2" applyNumberFormat="1" applyFont="1" applyBorder="1" applyAlignment="1">
      <alignment horizontal="right" vertical="center" wrapText="1"/>
    </xf>
    <xf numFmtId="181" fontId="5" fillId="0" borderId="14" xfId="2" applyNumberFormat="1" applyFont="1" applyFill="1" applyBorder="1" applyAlignment="1">
      <alignment horizontal="right" vertical="center" wrapText="1"/>
    </xf>
    <xf numFmtId="181" fontId="5" fillId="0" borderId="15" xfId="1" applyNumberFormat="1" applyFont="1" applyBorder="1" applyAlignment="1">
      <alignment horizontal="center" vertical="center" wrapText="1"/>
    </xf>
    <xf numFmtId="43" fontId="5" fillId="0" borderId="26" xfId="2" applyFont="1" applyFill="1" applyBorder="1" applyAlignment="1">
      <alignment horizontal="center" vertical="center"/>
    </xf>
    <xf numFmtId="179" fontId="5" fillId="2" borderId="26" xfId="3" applyNumberFormat="1" applyFont="1" applyFill="1" applyBorder="1" applyAlignment="1">
      <alignment horizontal="right" vertical="center"/>
    </xf>
    <xf numFmtId="176" fontId="5" fillId="0" borderId="26" xfId="2" applyNumberFormat="1" applyFont="1" applyFill="1" applyBorder="1" applyAlignment="1">
      <alignment vertical="center" wrapText="1"/>
    </xf>
    <xf numFmtId="42" fontId="5" fillId="0" borderId="26" xfId="3" applyNumberFormat="1" applyFont="1" applyBorder="1" applyAlignment="1">
      <alignment horizontal="right" vertical="center" wrapText="1"/>
    </xf>
    <xf numFmtId="44" fontId="5" fillId="0" borderId="12" xfId="1" applyNumberFormat="1" applyFont="1" applyBorder="1" applyAlignment="1">
      <alignment vertical="center" wrapText="1"/>
    </xf>
    <xf numFmtId="0" fontId="5" fillId="0" borderId="27" xfId="1" applyFont="1" applyBorder="1" applyAlignment="1">
      <alignment horizontal="center" vertical="center" wrapText="1"/>
    </xf>
    <xf numFmtId="180" fontId="5" fillId="0" borderId="26" xfId="1" applyNumberFormat="1" applyFont="1" applyBorder="1" applyAlignment="1">
      <alignment horizontal="left" vertical="center" wrapText="1"/>
    </xf>
    <xf numFmtId="0" fontId="5" fillId="0" borderId="26" xfId="1" applyFont="1" applyBorder="1" applyAlignment="1">
      <alignment horizontal="right" vertical="center" wrapText="1"/>
    </xf>
    <xf numFmtId="179" fontId="5" fillId="0" borderId="26" xfId="1" applyNumberFormat="1" applyFont="1" applyBorder="1" applyAlignment="1">
      <alignment horizontal="right" vertical="center" wrapText="1"/>
    </xf>
    <xf numFmtId="176" fontId="5" fillId="0" borderId="26" xfId="2" applyNumberFormat="1" applyFont="1" applyFill="1" applyBorder="1" applyAlignment="1">
      <alignment horizontal="right" vertical="center" wrapText="1"/>
    </xf>
    <xf numFmtId="42" fontId="5" fillId="0" borderId="26" xfId="2" applyNumberFormat="1" applyFont="1" applyFill="1" applyBorder="1" applyAlignment="1">
      <alignment horizontal="right" vertical="center" wrapText="1"/>
    </xf>
    <xf numFmtId="44" fontId="5" fillId="0" borderId="28" xfId="1" applyNumberFormat="1" applyFont="1" applyBorder="1" applyAlignment="1">
      <alignment horizontal="center" vertical="center" wrapText="1"/>
    </xf>
    <xf numFmtId="179" fontId="5" fillId="0" borderId="14" xfId="1" applyNumberFormat="1" applyFont="1" applyBorder="1" applyAlignment="1">
      <alignment horizontal="center" vertical="center" wrapText="1"/>
    </xf>
    <xf numFmtId="42" fontId="5" fillId="0" borderId="14" xfId="2" applyNumberFormat="1" applyFont="1" applyFill="1" applyBorder="1" applyAlignment="1">
      <alignment horizontal="right" vertical="center" wrapText="1"/>
    </xf>
    <xf numFmtId="44" fontId="5" fillId="0" borderId="15" xfId="1" applyNumberFormat="1" applyFont="1" applyBorder="1" applyAlignment="1">
      <alignment horizontal="center" vertical="center" wrapText="1"/>
    </xf>
    <xf numFmtId="0" fontId="11" fillId="0" borderId="10" xfId="1" applyFont="1" applyBorder="1" applyAlignment="1">
      <alignment horizontal="center" vertical="center" wrapText="1"/>
    </xf>
    <xf numFmtId="0" fontId="11" fillId="0" borderId="11" xfId="1" applyFont="1" applyBorder="1" applyAlignment="1">
      <alignment vertical="center" wrapText="1"/>
    </xf>
    <xf numFmtId="181" fontId="5" fillId="0" borderId="11" xfId="3" applyNumberFormat="1" applyFont="1" applyBorder="1" applyAlignment="1">
      <alignment horizontal="right" vertical="center" wrapText="1"/>
    </xf>
    <xf numFmtId="0" fontId="5" fillId="0" borderId="11" xfId="1" applyFont="1" applyBorder="1" applyAlignment="1">
      <alignment vertical="center" wrapText="1"/>
    </xf>
    <xf numFmtId="44" fontId="5" fillId="0" borderId="12" xfId="1" applyNumberFormat="1" applyFont="1" applyBorder="1" applyAlignment="1">
      <alignment horizontal="right" vertical="center" wrapText="1"/>
    </xf>
    <xf numFmtId="0" fontId="5" fillId="0" borderId="26" xfId="1" applyFont="1" applyBorder="1" applyAlignment="1">
      <alignment vertical="center" wrapText="1"/>
    </xf>
    <xf numFmtId="0" fontId="5" fillId="0" borderId="26" xfId="1" applyFont="1" applyBorder="1" applyAlignment="1">
      <alignment horizontal="center" vertical="center" wrapText="1"/>
    </xf>
    <xf numFmtId="179" fontId="5" fillId="2" borderId="26" xfId="3" applyNumberFormat="1" applyFont="1" applyFill="1" applyBorder="1" applyAlignment="1">
      <alignment vertical="center"/>
    </xf>
    <xf numFmtId="176" fontId="5" fillId="0" borderId="26" xfId="2" applyNumberFormat="1" applyFont="1" applyBorder="1" applyAlignment="1">
      <alignment horizontal="right" vertical="center" wrapText="1"/>
    </xf>
    <xf numFmtId="181" fontId="5" fillId="0" borderId="26" xfId="3" applyNumberFormat="1" applyFont="1" applyBorder="1" applyAlignment="1">
      <alignment horizontal="right" vertical="center" wrapText="1"/>
    </xf>
    <xf numFmtId="0" fontId="5" fillId="0" borderId="28" xfId="1" applyFont="1" applyBorder="1" applyAlignment="1">
      <alignment vertical="center" wrapText="1"/>
    </xf>
    <xf numFmtId="179" fontId="5" fillId="0" borderId="26" xfId="1" applyNumberFormat="1" applyFont="1" applyBorder="1" applyAlignment="1">
      <alignment horizontal="center" vertical="center" wrapText="1"/>
    </xf>
    <xf numFmtId="181" fontId="5" fillId="0" borderId="26" xfId="2" applyNumberFormat="1" applyFont="1" applyFill="1" applyBorder="1" applyAlignment="1">
      <alignment horizontal="right" vertical="center" wrapText="1"/>
    </xf>
    <xf numFmtId="0" fontId="11" fillId="0" borderId="7" xfId="1" applyFont="1" applyBorder="1" applyAlignment="1">
      <alignment horizontal="center" vertical="center" wrapText="1"/>
    </xf>
    <xf numFmtId="0" fontId="11" fillId="0" borderId="8" xfId="1" applyFont="1" applyBorder="1" applyAlignment="1">
      <alignment vertical="center" wrapText="1"/>
    </xf>
    <xf numFmtId="0" fontId="5" fillId="0" borderId="8" xfId="1" applyFont="1" applyBorder="1" applyAlignment="1">
      <alignment horizontal="center" vertical="center" wrapText="1"/>
    </xf>
    <xf numFmtId="179" fontId="5" fillId="0" borderId="8" xfId="1" applyNumberFormat="1" applyFont="1" applyBorder="1" applyAlignment="1">
      <alignment horizontal="center" vertical="center" wrapText="1"/>
    </xf>
    <xf numFmtId="176" fontId="5" fillId="0" borderId="8" xfId="2" applyNumberFormat="1" applyFont="1" applyBorder="1" applyAlignment="1">
      <alignment horizontal="right" vertical="center" wrapText="1"/>
    </xf>
    <xf numFmtId="44" fontId="5" fillId="0" borderId="8" xfId="2" applyNumberFormat="1" applyFont="1" applyFill="1" applyBorder="1" applyAlignment="1">
      <alignment horizontal="right" vertical="center" wrapText="1"/>
    </xf>
    <xf numFmtId="0" fontId="5" fillId="0" borderId="9" xfId="1" applyFont="1" applyBorder="1" applyAlignment="1">
      <alignment horizontal="center" vertical="center" wrapText="1"/>
    </xf>
    <xf numFmtId="0" fontId="13" fillId="2" borderId="0" xfId="1" applyFont="1" applyFill="1" applyAlignment="1">
      <alignment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vertical="center" wrapText="1"/>
    </xf>
    <xf numFmtId="179" fontId="5" fillId="2" borderId="8" xfId="3" applyNumberFormat="1" applyFont="1" applyFill="1" applyBorder="1" applyAlignment="1">
      <alignment horizontal="center" vertical="center"/>
    </xf>
    <xf numFmtId="176" fontId="5" fillId="0" borderId="8" xfId="2" applyNumberFormat="1" applyFont="1" applyBorder="1" applyAlignment="1">
      <alignment horizontal="center" vertical="center" wrapText="1"/>
    </xf>
    <xf numFmtId="181" fontId="5" fillId="0" borderId="8" xfId="3" applyNumberFormat="1" applyFont="1" applyBorder="1" applyAlignment="1">
      <alignment horizontal="center" vertical="center" wrapText="1"/>
    </xf>
    <xf numFmtId="0" fontId="5" fillId="2" borderId="11" xfId="2" applyNumberFormat="1" applyFont="1" applyFill="1" applyBorder="1" applyAlignment="1">
      <alignment vertical="center" wrapText="1"/>
    </xf>
    <xf numFmtId="176" fontId="5" fillId="2" borderId="11" xfId="2" applyNumberFormat="1" applyFont="1" applyFill="1" applyBorder="1" applyAlignment="1">
      <alignment vertical="center" wrapText="1"/>
    </xf>
    <xf numFmtId="0" fontId="5" fillId="0" borderId="8" xfId="1" applyFont="1" applyBorder="1" applyAlignment="1">
      <alignment vertical="center" wrapText="1"/>
    </xf>
    <xf numFmtId="179" fontId="5" fillId="0" borderId="23" xfId="1" applyNumberFormat="1" applyFont="1" applyBorder="1" applyAlignment="1">
      <alignment horizontal="center" vertical="center" wrapText="1"/>
    </xf>
    <xf numFmtId="176" fontId="5" fillId="0" borderId="11" xfId="2" applyNumberFormat="1" applyFont="1" applyFill="1" applyBorder="1" applyAlignment="1">
      <alignment vertical="center" wrapText="1"/>
    </xf>
    <xf numFmtId="44" fontId="19" fillId="0" borderId="12" xfId="1" applyNumberFormat="1" applyFont="1" applyBorder="1" applyAlignment="1">
      <alignment vertical="center" wrapText="1"/>
    </xf>
    <xf numFmtId="176" fontId="5" fillId="0" borderId="11" xfId="2" applyNumberFormat="1" applyFont="1" applyBorder="1" applyAlignment="1">
      <alignment vertical="center" wrapText="1"/>
    </xf>
    <xf numFmtId="181" fontId="5" fillId="0" borderId="12" xfId="1" applyNumberFormat="1" applyFont="1" applyBorder="1" applyAlignment="1">
      <alignment vertical="center" wrapText="1"/>
    </xf>
    <xf numFmtId="180" fontId="5" fillId="0" borderId="23" xfId="1" applyNumberFormat="1" applyFont="1" applyBorder="1" applyAlignment="1">
      <alignment horizontal="left" vertical="center" wrapText="1"/>
    </xf>
    <xf numFmtId="44" fontId="5" fillId="0" borderId="24" xfId="1" applyNumberFormat="1" applyFont="1" applyBorder="1" applyAlignment="1">
      <alignment vertical="center" wrapText="1"/>
    </xf>
    <xf numFmtId="0" fontId="5" fillId="0" borderId="11" xfId="2" applyNumberFormat="1" applyFont="1" applyFill="1" applyBorder="1" applyAlignment="1">
      <alignment vertical="center"/>
    </xf>
    <xf numFmtId="0" fontId="5" fillId="0" borderId="14" xfId="2" applyNumberFormat="1" applyFont="1" applyFill="1" applyBorder="1" applyAlignment="1">
      <alignment vertical="center"/>
    </xf>
    <xf numFmtId="43" fontId="5" fillId="0" borderId="14" xfId="2" applyFont="1" applyFill="1" applyBorder="1" applyAlignment="1">
      <alignment horizontal="center" vertical="center"/>
    </xf>
    <xf numFmtId="179" fontId="5" fillId="2" borderId="14" xfId="3" applyNumberFormat="1" applyFont="1" applyFill="1" applyBorder="1" applyAlignment="1">
      <alignment horizontal="right" vertical="center"/>
    </xf>
    <xf numFmtId="181" fontId="5" fillId="0" borderId="14" xfId="3" applyNumberFormat="1" applyFont="1" applyBorder="1" applyAlignment="1">
      <alignment horizontal="right" vertical="center" wrapText="1"/>
    </xf>
    <xf numFmtId="44" fontId="5" fillId="0" borderId="15" xfId="1" applyNumberFormat="1" applyFont="1" applyBorder="1" applyAlignment="1">
      <alignment vertical="center" wrapText="1"/>
    </xf>
    <xf numFmtId="0" fontId="5" fillId="2" borderId="10" xfId="3" applyFont="1" applyFill="1" applyBorder="1" applyAlignment="1">
      <alignment horizontal="center" vertical="center"/>
    </xf>
    <xf numFmtId="0" fontId="5" fillId="2" borderId="11" xfId="3" applyFont="1" applyFill="1" applyBorder="1" applyAlignment="1">
      <alignment horizontal="left" vertical="center"/>
    </xf>
    <xf numFmtId="176" fontId="5" fillId="2" borderId="11" xfId="3" applyNumberFormat="1" applyFont="1" applyFill="1" applyBorder="1" applyAlignment="1">
      <alignment horizontal="right" vertical="center" wrapText="1"/>
    </xf>
    <xf numFmtId="0" fontId="5" fillId="0" borderId="33" xfId="1" applyFont="1" applyBorder="1" applyAlignment="1">
      <alignment horizontal="center" vertical="center" wrapText="1"/>
    </xf>
    <xf numFmtId="0" fontId="5" fillId="0" borderId="29" xfId="1" applyFont="1" applyBorder="1" applyAlignment="1">
      <alignment horizontal="center" vertical="center" wrapText="1"/>
    </xf>
    <xf numFmtId="49" fontId="5" fillId="2" borderId="25" xfId="3" applyNumberFormat="1" applyFont="1" applyFill="1" applyBorder="1" applyAlignment="1">
      <alignment horizontal="center" vertical="center"/>
    </xf>
    <xf numFmtId="0" fontId="5" fillId="2" borderId="26" xfId="3" applyFont="1" applyFill="1" applyBorder="1" applyAlignment="1">
      <alignment horizontal="left" vertical="center"/>
    </xf>
    <xf numFmtId="43" fontId="5" fillId="2" borderId="35" xfId="3" applyNumberFormat="1" applyFont="1" applyFill="1" applyBorder="1" applyAlignment="1">
      <alignment horizontal="center" vertical="center"/>
    </xf>
    <xf numFmtId="176" fontId="5" fillId="2" borderId="26" xfId="3" applyNumberFormat="1" applyFont="1" applyFill="1" applyBorder="1" applyAlignment="1">
      <alignment horizontal="right" vertical="center" wrapText="1"/>
    </xf>
    <xf numFmtId="0" fontId="5" fillId="0" borderId="37" xfId="1" applyFont="1" applyBorder="1" applyAlignment="1">
      <alignment horizontal="center" vertical="center" wrapText="1"/>
    </xf>
    <xf numFmtId="0" fontId="5" fillId="0" borderId="38" xfId="1" applyFont="1" applyBorder="1" applyAlignment="1">
      <alignment horizontal="center" vertical="center" wrapText="1"/>
    </xf>
    <xf numFmtId="0" fontId="5" fillId="0" borderId="14" xfId="1" applyFont="1" applyBorder="1" applyAlignment="1">
      <alignment vertical="center" wrapText="1"/>
    </xf>
    <xf numFmtId="43" fontId="5" fillId="0" borderId="19" xfId="2" applyFont="1" applyFill="1" applyBorder="1" applyAlignment="1">
      <alignment horizontal="center" vertical="center" wrapText="1"/>
    </xf>
    <xf numFmtId="179" fontId="5" fillId="2" borderId="14" xfId="3" applyNumberFormat="1" applyFont="1" applyFill="1" applyBorder="1" applyAlignment="1">
      <alignment vertical="center"/>
    </xf>
    <xf numFmtId="0" fontId="5" fillId="0" borderId="25" xfId="1" applyFont="1" applyBorder="1" applyAlignment="1">
      <alignment horizontal="center" vertical="center" wrapText="1"/>
    </xf>
    <xf numFmtId="0" fontId="5" fillId="0" borderId="0" xfId="1" quotePrefix="1" applyFont="1" applyAlignment="1">
      <alignment horizontal="center" vertical="center" wrapText="1"/>
    </xf>
    <xf numFmtId="0" fontId="5" fillId="0" borderId="18" xfId="1" applyFont="1" applyBorder="1" applyAlignment="1">
      <alignment horizontal="center" vertical="center" wrapText="1"/>
    </xf>
    <xf numFmtId="0" fontId="5" fillId="0" borderId="16" xfId="1" applyFont="1" applyBorder="1" applyAlignment="1">
      <alignment horizontal="center" vertical="center" wrapText="1"/>
    </xf>
    <xf numFmtId="0" fontId="5" fillId="0" borderId="17" xfId="1" quotePrefix="1" applyFont="1" applyBorder="1" applyAlignment="1">
      <alignment horizontal="center" vertical="center" wrapText="1"/>
    </xf>
    <xf numFmtId="0" fontId="5" fillId="0" borderId="39" xfId="1" applyFont="1" applyBorder="1" applyAlignment="1">
      <alignment horizontal="center" vertical="center" wrapText="1"/>
    </xf>
    <xf numFmtId="0" fontId="5" fillId="0" borderId="41" xfId="1" applyFont="1" applyBorder="1" applyAlignment="1">
      <alignment horizontal="center" vertical="center" wrapText="1"/>
    </xf>
    <xf numFmtId="0" fontId="5" fillId="0" borderId="42" xfId="1" quotePrefix="1" applyFont="1" applyBorder="1" applyAlignment="1">
      <alignment horizontal="center" vertical="center" wrapText="1"/>
    </xf>
    <xf numFmtId="0" fontId="5" fillId="0" borderId="43" xfId="1" applyFont="1" applyBorder="1" applyAlignment="1">
      <alignment horizontal="center" vertical="center" wrapText="1"/>
    </xf>
    <xf numFmtId="42" fontId="5" fillId="0" borderId="11" xfId="2" applyNumberFormat="1" applyFont="1" applyFill="1" applyBorder="1" applyAlignment="1">
      <alignment horizontal="right" vertical="center" wrapText="1"/>
    </xf>
    <xf numFmtId="0" fontId="5" fillId="0" borderId="26" xfId="2" applyNumberFormat="1" applyFont="1" applyFill="1" applyBorder="1" applyAlignment="1">
      <alignment vertical="center" wrapText="1"/>
    </xf>
    <xf numFmtId="179" fontId="5" fillId="0" borderId="26" xfId="3" applyNumberFormat="1" applyFont="1" applyBorder="1" applyAlignment="1">
      <alignment horizontal="right" vertical="center"/>
    </xf>
    <xf numFmtId="0" fontId="5" fillId="0" borderId="44" xfId="1" applyFont="1" applyBorder="1" applyAlignment="1">
      <alignment horizontal="center" vertical="center" wrapText="1"/>
    </xf>
    <xf numFmtId="0" fontId="5" fillId="0" borderId="14" xfId="2" applyNumberFormat="1" applyFont="1" applyFill="1" applyBorder="1" applyAlignment="1">
      <alignment vertical="center" wrapText="1"/>
    </xf>
    <xf numFmtId="179" fontId="5" fillId="0" borderId="14" xfId="1" applyNumberFormat="1" applyFont="1" applyBorder="1">
      <alignment vertical="center"/>
    </xf>
    <xf numFmtId="176" fontId="5" fillId="0" borderId="14" xfId="1" applyNumberFormat="1" applyFont="1" applyBorder="1">
      <alignment vertical="center"/>
    </xf>
    <xf numFmtId="0" fontId="6" fillId="0" borderId="25" xfId="1" applyFont="1" applyBorder="1" applyAlignment="1">
      <alignment vertical="center" wrapText="1"/>
    </xf>
    <xf numFmtId="0" fontId="11" fillId="0" borderId="36" xfId="1" applyFont="1" applyBorder="1" applyAlignment="1">
      <alignment horizontal="center" vertical="center" wrapText="1"/>
    </xf>
    <xf numFmtId="0" fontId="11" fillId="0" borderId="45" xfId="1" applyFont="1" applyBorder="1" applyAlignment="1">
      <alignment vertical="center" wrapText="1"/>
    </xf>
    <xf numFmtId="43" fontId="5" fillId="0" borderId="2" xfId="2" applyFont="1" applyFill="1" applyBorder="1" applyAlignment="1">
      <alignment horizontal="center" vertical="center"/>
    </xf>
    <xf numFmtId="179" fontId="5" fillId="0" borderId="2" xfId="3" applyNumberFormat="1" applyFont="1" applyBorder="1" applyAlignment="1">
      <alignment horizontal="right" vertical="center"/>
    </xf>
    <xf numFmtId="42" fontId="5" fillId="0" borderId="2" xfId="2" applyNumberFormat="1" applyFont="1" applyFill="1" applyBorder="1" applyAlignment="1">
      <alignment vertical="center" wrapText="1"/>
    </xf>
    <xf numFmtId="42" fontId="5" fillId="0" borderId="2" xfId="3" applyNumberFormat="1" applyFont="1" applyBorder="1" applyAlignment="1">
      <alignment horizontal="right" vertical="center" wrapText="1"/>
    </xf>
    <xf numFmtId="0" fontId="5" fillId="0" borderId="46" xfId="1" applyFont="1" applyBorder="1" applyAlignment="1">
      <alignment horizontal="center" vertical="center" wrapText="1"/>
    </xf>
    <xf numFmtId="0" fontId="5" fillId="0" borderId="47" xfId="1" quotePrefix="1" applyFont="1" applyBorder="1" applyAlignment="1">
      <alignment horizontal="center" vertical="center" wrapText="1"/>
    </xf>
    <xf numFmtId="0" fontId="5" fillId="0" borderId="48" xfId="1" applyFont="1" applyBorder="1" applyAlignment="1">
      <alignment horizontal="center" vertical="center" wrapText="1"/>
    </xf>
    <xf numFmtId="0" fontId="5" fillId="0" borderId="29" xfId="1" quotePrefix="1" applyFont="1" applyBorder="1" applyAlignment="1">
      <alignment horizontal="center" vertical="center" wrapText="1"/>
    </xf>
    <xf numFmtId="0" fontId="5" fillId="0" borderId="40" xfId="1" applyFont="1" applyBorder="1" applyAlignment="1">
      <alignment horizontal="center" vertical="center" wrapText="1"/>
    </xf>
    <xf numFmtId="0" fontId="5" fillId="0" borderId="11" xfId="3" applyFont="1" applyBorder="1" applyAlignment="1">
      <alignment horizontal="left" vertical="center"/>
    </xf>
    <xf numFmtId="0" fontId="5" fillId="0" borderId="26" xfId="3" applyFont="1" applyBorder="1" applyAlignment="1">
      <alignment horizontal="left" vertical="center"/>
    </xf>
    <xf numFmtId="176" fontId="5" fillId="0" borderId="14" xfId="2" applyNumberFormat="1" applyFont="1" applyFill="1" applyBorder="1" applyAlignment="1">
      <alignment horizontal="right" vertical="center" wrapText="1"/>
    </xf>
    <xf numFmtId="0" fontId="5" fillId="0" borderId="2" xfId="1" applyFont="1" applyBorder="1" applyAlignment="1">
      <alignment vertical="center" wrapText="1"/>
    </xf>
    <xf numFmtId="179" fontId="5" fillId="0" borderId="2" xfId="1" applyNumberFormat="1" applyFont="1" applyBorder="1" applyAlignment="1">
      <alignment vertical="center" wrapText="1"/>
    </xf>
    <xf numFmtId="176" fontId="5" fillId="0" borderId="2" xfId="1" applyNumberFormat="1" applyFont="1" applyBorder="1" applyAlignment="1">
      <alignment vertical="center" wrapText="1"/>
    </xf>
    <xf numFmtId="0" fontId="5" fillId="0" borderId="7" xfId="5" applyFont="1" applyBorder="1" applyAlignment="1">
      <alignment horizontal="center" vertical="center"/>
    </xf>
    <xf numFmtId="0" fontId="11" fillId="0" borderId="8" xfId="5" applyFont="1" applyBorder="1" applyAlignment="1">
      <alignment vertical="center" wrapText="1"/>
    </xf>
    <xf numFmtId="0" fontId="5" fillId="0" borderId="8" xfId="5" applyFont="1" applyBorder="1" applyAlignment="1">
      <alignment vertical="center"/>
    </xf>
    <xf numFmtId="179" fontId="5" fillId="0" borderId="8" xfId="5" applyNumberFormat="1" applyFont="1" applyBorder="1" applyAlignment="1">
      <alignment horizontal="right" vertical="center"/>
    </xf>
    <xf numFmtId="176" fontId="5" fillId="0" borderId="8" xfId="5" applyNumberFormat="1" applyFont="1" applyBorder="1" applyAlignment="1">
      <alignment vertical="center"/>
    </xf>
    <xf numFmtId="181" fontId="5" fillId="0" borderId="8" xfId="5" applyNumberFormat="1" applyFont="1" applyBorder="1" applyAlignment="1">
      <alignment horizontal="right" vertical="center"/>
    </xf>
    <xf numFmtId="0" fontId="5" fillId="0" borderId="9" xfId="1" applyFont="1" applyBorder="1" applyAlignment="1">
      <alignment vertical="center" wrapText="1"/>
    </xf>
    <xf numFmtId="0" fontId="5" fillId="0" borderId="10" xfId="5" applyFont="1" applyBorder="1" applyAlignment="1">
      <alignment horizontal="center" vertical="center"/>
    </xf>
    <xf numFmtId="0" fontId="11" fillId="0" borderId="11" xfId="5" applyFont="1" applyBorder="1" applyAlignment="1">
      <alignment vertical="center" wrapText="1"/>
    </xf>
    <xf numFmtId="0" fontId="5" fillId="0" borderId="11" xfId="5" applyFont="1" applyBorder="1" applyAlignment="1">
      <alignment vertical="center"/>
    </xf>
    <xf numFmtId="179" fontId="5" fillId="0" borderId="11" xfId="5" applyNumberFormat="1" applyFont="1" applyBorder="1" applyAlignment="1">
      <alignment horizontal="right" vertical="center"/>
    </xf>
    <xf numFmtId="176" fontId="5" fillId="0" borderId="11" xfId="5" applyNumberFormat="1" applyFont="1" applyBorder="1" applyAlignment="1">
      <alignment vertical="center"/>
    </xf>
    <xf numFmtId="181" fontId="5" fillId="0" borderId="11" xfId="5" applyNumberFormat="1" applyFont="1" applyBorder="1" applyAlignment="1">
      <alignment horizontal="right" vertical="center"/>
    </xf>
    <xf numFmtId="0" fontId="5" fillId="0" borderId="13" xfId="5" applyFont="1" applyBorder="1" applyAlignment="1">
      <alignment horizontal="center" vertical="center"/>
    </xf>
    <xf numFmtId="0" fontId="11" fillId="0" borderId="14" xfId="5" applyFont="1" applyBorder="1" applyAlignment="1">
      <alignment vertical="center" wrapText="1"/>
    </xf>
    <xf numFmtId="0" fontId="5" fillId="0" borderId="14" xfId="5" applyFont="1" applyBorder="1" applyAlignment="1">
      <alignment vertical="center"/>
    </xf>
    <xf numFmtId="179" fontId="5" fillId="0" borderId="14" xfId="5" applyNumberFormat="1" applyFont="1" applyBorder="1" applyAlignment="1">
      <alignment horizontal="right" vertical="center"/>
    </xf>
    <xf numFmtId="176" fontId="5" fillId="0" borderId="14" xfId="5" applyNumberFormat="1" applyFont="1" applyBorder="1" applyAlignment="1">
      <alignment vertical="center"/>
    </xf>
    <xf numFmtId="181" fontId="5" fillId="0" borderId="14" xfId="5" applyNumberFormat="1" applyFont="1" applyBorder="1" applyAlignment="1">
      <alignment horizontal="right" vertical="center"/>
    </xf>
    <xf numFmtId="0" fontId="5" fillId="0" borderId="15" xfId="1" applyFont="1" applyBorder="1" applyAlignment="1">
      <alignment vertical="center" wrapText="1"/>
    </xf>
    <xf numFmtId="179" fontId="5" fillId="0" borderId="0" xfId="1" applyNumberFormat="1" applyFont="1" applyAlignment="1">
      <alignment horizontal="right" vertical="center" wrapText="1"/>
    </xf>
    <xf numFmtId="176" fontId="5" fillId="0" borderId="0" xfId="1" applyNumberFormat="1" applyFont="1" applyAlignment="1">
      <alignment vertical="center" wrapText="1"/>
    </xf>
    <xf numFmtId="0" fontId="5" fillId="0" borderId="0" xfId="1" applyFont="1">
      <alignment vertical="center"/>
    </xf>
    <xf numFmtId="0" fontId="5" fillId="0" borderId="0" xfId="1" applyFont="1" applyAlignment="1">
      <alignment horizontal="left" vertical="center"/>
    </xf>
    <xf numFmtId="179" fontId="7" fillId="0" borderId="0" xfId="1" applyNumberFormat="1" applyFont="1" applyAlignment="1">
      <alignment horizontal="right" vertical="center" wrapText="1"/>
    </xf>
    <xf numFmtId="176" fontId="5" fillId="0" borderId="0" xfId="1" applyNumberFormat="1" applyFont="1">
      <alignment vertical="center"/>
    </xf>
    <xf numFmtId="0" fontId="5" fillId="0" borderId="0" xfId="1" applyFont="1" applyAlignment="1">
      <alignment horizontal="right" vertical="center"/>
    </xf>
    <xf numFmtId="179" fontId="5" fillId="0" borderId="0" xfId="1" applyNumberFormat="1" applyFont="1" applyAlignment="1">
      <alignment horizontal="left" vertical="center"/>
    </xf>
    <xf numFmtId="176" fontId="7" fillId="0" borderId="0" xfId="1" applyNumberFormat="1" applyFont="1" applyAlignment="1">
      <alignment vertical="center" wrapText="1"/>
    </xf>
    <xf numFmtId="0" fontId="7" fillId="0" borderId="0" xfId="1" applyFont="1" applyAlignment="1">
      <alignment horizontal="right" vertical="center" wrapText="1"/>
    </xf>
    <xf numFmtId="0" fontId="6" fillId="0" borderId="25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5" fillId="0" borderId="1" xfId="1" applyFont="1" applyBorder="1" applyAlignment="1">
      <alignment horizontal="left" vertical="center" wrapText="1"/>
    </xf>
    <xf numFmtId="0" fontId="5" fillId="0" borderId="2" xfId="1" applyFont="1" applyBorder="1" applyAlignment="1">
      <alignment horizontal="left" vertical="center" wrapText="1"/>
    </xf>
    <xf numFmtId="0" fontId="5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 wrapText="1"/>
    </xf>
    <xf numFmtId="0" fontId="5" fillId="0" borderId="0" xfId="1" applyFont="1" applyAlignment="1">
      <alignment horizontal="right" vertical="center" wrapText="1"/>
    </xf>
    <xf numFmtId="0" fontId="5" fillId="0" borderId="33" xfId="1" applyFont="1" applyBorder="1" applyAlignment="1">
      <alignment horizontal="center" vertical="center" wrapText="1"/>
    </xf>
    <xf numFmtId="0" fontId="5" fillId="0" borderId="29" xfId="1" applyFont="1" applyBorder="1" applyAlignment="1">
      <alignment horizontal="center" vertical="center" wrapText="1"/>
    </xf>
    <xf numFmtId="0" fontId="5" fillId="0" borderId="34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26" xfId="1" applyFont="1" applyBorder="1" applyAlignment="1">
      <alignment horizontal="center" vertical="center" wrapText="1"/>
    </xf>
    <xf numFmtId="0" fontId="5" fillId="0" borderId="23" xfId="1" applyFont="1" applyBorder="1" applyAlignment="1">
      <alignment horizontal="center" vertical="center" wrapText="1"/>
    </xf>
    <xf numFmtId="179" fontId="5" fillId="0" borderId="26" xfId="1" applyNumberFormat="1" applyFont="1" applyBorder="1" applyAlignment="1">
      <alignment horizontal="center" vertical="center" wrapText="1"/>
    </xf>
    <xf numFmtId="179" fontId="5" fillId="0" borderId="23" xfId="1" applyNumberFormat="1" applyFont="1" applyBorder="1" applyAlignment="1">
      <alignment horizontal="center" vertical="center" wrapText="1"/>
    </xf>
    <xf numFmtId="179" fontId="5" fillId="0" borderId="8" xfId="1" applyNumberFormat="1" applyFont="1" applyBorder="1" applyAlignment="1">
      <alignment horizontal="center" vertical="center" wrapText="1"/>
    </xf>
    <xf numFmtId="176" fontId="5" fillId="0" borderId="26" xfId="2" applyNumberFormat="1" applyFont="1" applyBorder="1" applyAlignment="1">
      <alignment horizontal="center" vertical="center" wrapText="1"/>
    </xf>
    <xf numFmtId="176" fontId="5" fillId="0" borderId="23" xfId="2" applyNumberFormat="1" applyFont="1" applyBorder="1" applyAlignment="1">
      <alignment horizontal="center" vertical="center" wrapText="1"/>
    </xf>
    <xf numFmtId="176" fontId="5" fillId="0" borderId="8" xfId="2" applyNumberFormat="1" applyFont="1" applyBorder="1" applyAlignment="1">
      <alignment horizontal="center" vertical="center" wrapText="1"/>
    </xf>
    <xf numFmtId="44" fontId="5" fillId="0" borderId="26" xfId="2" applyNumberFormat="1" applyFont="1" applyFill="1" applyBorder="1" applyAlignment="1">
      <alignment horizontal="center" vertical="center" wrapText="1"/>
    </xf>
    <xf numFmtId="44" fontId="5" fillId="0" borderId="23" xfId="2" applyNumberFormat="1" applyFont="1" applyFill="1" applyBorder="1" applyAlignment="1">
      <alignment horizontal="center" vertical="center" wrapText="1"/>
    </xf>
    <xf numFmtId="44" fontId="5" fillId="0" borderId="8" xfId="2" applyNumberFormat="1" applyFont="1" applyFill="1" applyBorder="1" applyAlignment="1">
      <alignment horizontal="center" vertical="center" wrapText="1"/>
    </xf>
    <xf numFmtId="0" fontId="5" fillId="3" borderId="0" xfId="1" applyFont="1" applyFill="1" applyAlignment="1">
      <alignment horizontal="center" vertical="center" wrapText="1"/>
    </xf>
    <xf numFmtId="0" fontId="5" fillId="3" borderId="30" xfId="1" applyFont="1" applyFill="1" applyBorder="1" applyAlignment="1">
      <alignment horizontal="center" vertical="center" wrapText="1"/>
    </xf>
    <xf numFmtId="0" fontId="5" fillId="3" borderId="31" xfId="1" applyFont="1" applyFill="1" applyBorder="1" applyAlignment="1">
      <alignment horizontal="center" vertical="center" wrapText="1"/>
    </xf>
    <xf numFmtId="0" fontId="5" fillId="3" borderId="32" xfId="1" applyFont="1" applyFill="1" applyBorder="1" applyAlignment="1">
      <alignment horizontal="center" vertical="center" wrapText="1"/>
    </xf>
    <xf numFmtId="0" fontId="2" fillId="0" borderId="0" xfId="1" applyFont="1">
      <alignment vertical="center"/>
    </xf>
    <xf numFmtId="0" fontId="10" fillId="0" borderId="0" xfId="1" applyFont="1" applyAlignment="1">
      <alignment horizontal="left" vertical="center" wrapText="1"/>
    </xf>
    <xf numFmtId="43" fontId="5" fillId="0" borderId="26" xfId="2" applyFont="1" applyFill="1" applyBorder="1" applyAlignment="1">
      <alignment horizontal="center" vertical="center"/>
    </xf>
    <xf numFmtId="43" fontId="5" fillId="0" borderId="23" xfId="2" applyFont="1" applyFill="1" applyBorder="1" applyAlignment="1">
      <alignment horizontal="center" vertical="center"/>
    </xf>
    <xf numFmtId="43" fontId="5" fillId="0" borderId="8" xfId="2" applyFont="1" applyFill="1" applyBorder="1" applyAlignment="1">
      <alignment horizontal="center" vertical="center"/>
    </xf>
    <xf numFmtId="179" fontId="5" fillId="2" borderId="26" xfId="3" applyNumberFormat="1" applyFont="1" applyFill="1" applyBorder="1" applyAlignment="1">
      <alignment horizontal="center" vertical="center"/>
    </xf>
    <xf numFmtId="179" fontId="5" fillId="2" borderId="23" xfId="3" applyNumberFormat="1" applyFont="1" applyFill="1" applyBorder="1" applyAlignment="1">
      <alignment horizontal="center" vertical="center"/>
    </xf>
    <xf numFmtId="179" fontId="5" fillId="2" borderId="8" xfId="3" applyNumberFormat="1" applyFont="1" applyFill="1" applyBorder="1" applyAlignment="1">
      <alignment horizontal="center" vertical="center"/>
    </xf>
    <xf numFmtId="181" fontId="5" fillId="0" borderId="26" xfId="3" applyNumberFormat="1" applyFont="1" applyBorder="1" applyAlignment="1">
      <alignment horizontal="center" vertical="center" wrapText="1"/>
    </xf>
    <xf numFmtId="181" fontId="5" fillId="0" borderId="23" xfId="3" applyNumberFormat="1" applyFont="1" applyBorder="1" applyAlignment="1">
      <alignment horizontal="center" vertical="center" wrapText="1"/>
    </xf>
    <xf numFmtId="181" fontId="5" fillId="0" borderId="8" xfId="3" applyNumberFormat="1" applyFont="1" applyBorder="1" applyAlignment="1">
      <alignment horizontal="center" vertical="center" wrapText="1"/>
    </xf>
    <xf numFmtId="44" fontId="19" fillId="0" borderId="28" xfId="1" applyNumberFormat="1" applyFont="1" applyBorder="1" applyAlignment="1">
      <alignment horizontal="center" vertical="center" wrapText="1"/>
    </xf>
    <xf numFmtId="44" fontId="19" fillId="0" borderId="24" xfId="1" applyNumberFormat="1" applyFont="1" applyBorder="1" applyAlignment="1">
      <alignment horizontal="center" vertical="center" wrapText="1"/>
    </xf>
    <xf numFmtId="44" fontId="19" fillId="0" borderId="9" xfId="1" applyNumberFormat="1" applyFont="1" applyBorder="1" applyAlignment="1">
      <alignment horizontal="center" vertical="center" wrapText="1"/>
    </xf>
  </cellXfs>
  <cellStyles count="6">
    <cellStyle name="一般" xfId="0" builtinId="0"/>
    <cellStyle name="一般 2 2" xfId="3" xr:uid="{0251BCE3-AC37-40D8-8BE0-27FEF9BC8CAC}"/>
    <cellStyle name="一般 2 4" xfId="1" xr:uid="{E5A723FD-4827-4FC5-ACB7-D679DBAD2F82}"/>
    <cellStyle name="一般 4" xfId="5" xr:uid="{8921696A-58C4-4EB5-9A49-C09A674B6609}"/>
    <cellStyle name="千分位 2 2" xfId="2" xr:uid="{28E234D4-60FC-4720-B32F-7A2910273B7A}"/>
    <cellStyle name="貨幣 3" xfId="4" xr:uid="{05029B39-46C9-4DB9-B4BD-9746B0B0B0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603250</xdr:colOff>
      <xdr:row>0</xdr:row>
      <xdr:rowOff>13607</xdr:rowOff>
    </xdr:from>
    <xdr:to>
      <xdr:col>6</xdr:col>
      <xdr:colOff>1809752</xdr:colOff>
      <xdr:row>1</xdr:row>
      <xdr:rowOff>232064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B63578C-192D-49EB-8DE5-1AD6A1875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0470" y="13607"/>
          <a:ext cx="7500622" cy="101855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25071NSJ_AS_V01.xlsx" TargetMode="External"/><Relationship Id="rId1" Type="http://schemas.openxmlformats.org/officeDocument/2006/relationships/externalLinkPath" Target="file:///\\192.168.10.99\&#26989;&#21209;&#37096;\&#12304;&#32784;&#26031;&#20625;&#26989;&#21209;&#12305;\&#12304;&#23560;&#26696;&#36039;&#26009;&#22846;&#12305;\2.%20&#38283;&#30332;&#20013;&#26696;&#22580;\S-&#37628;&#27083;&#24037;&#31243;\&#23665;&#19978;&#21312;&#20844;&#25152;\4.&#38928;&#31639;&#26360;\25071NSJ_AS_V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專案分析表"/>
      <sheetName val="報價單"/>
      <sheetName val="工程預算書"/>
      <sheetName val="報價彙整表"/>
      <sheetName val="估料彙整表"/>
      <sheetName val="估料表"/>
      <sheetName val="工作表1"/>
      <sheetName val="估料分類表"/>
      <sheetName val="物料清單表"/>
      <sheetName val="物料分類表"/>
      <sheetName val="25071NSJ_AS_V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7AC3-BCE0-44BB-8EEE-6F190DAB9BB1}">
  <sheetPr>
    <pageSetUpPr fitToPage="1"/>
  </sheetPr>
  <dimension ref="A1:P133"/>
  <sheetViews>
    <sheetView tabSelected="1" view="pageBreakPreview" zoomScale="70" zoomScaleNormal="100" zoomScaleSheetLayoutView="70" workbookViewId="0">
      <pane ySplit="5" topLeftCell="A6" activePane="bottomLeft" state="frozen"/>
      <selection activeCell="L17" sqref="L17"/>
      <selection pane="bottomLeft" activeCell="M10" sqref="M10"/>
    </sheetView>
  </sheetViews>
  <sheetFormatPr defaultColWidth="9" defaultRowHeight="17.25" customHeight="1"/>
  <cols>
    <col min="1" max="1" width="15.88671875" style="29" customWidth="1"/>
    <col min="2" max="2" width="48.6640625" style="30" customWidth="1"/>
    <col min="3" max="3" width="9.44140625" style="30" customWidth="1"/>
    <col min="4" max="4" width="25.77734375" style="236" bestFit="1" customWidth="1"/>
    <col min="5" max="5" width="22.109375" style="240" bestFit="1" customWidth="1"/>
    <col min="6" max="6" width="34.44140625" style="241" customWidth="1"/>
    <col min="7" max="7" width="30.33203125" style="30" customWidth="1"/>
    <col min="8" max="8" width="3.33203125" style="28" customWidth="1"/>
    <col min="9" max="9" width="8.109375" style="28" bestFit="1" customWidth="1"/>
    <col min="10" max="10" width="3.44140625" style="28" bestFit="1" customWidth="1"/>
    <col min="11" max="11" width="8.109375" style="29" bestFit="1" customWidth="1"/>
    <col min="12" max="12" width="9.44140625" style="30" bestFit="1" customWidth="1"/>
    <col min="13" max="13" width="15.109375" style="31" bestFit="1" customWidth="1"/>
    <col min="14" max="15" width="10.44140625" style="31" customWidth="1"/>
    <col min="16" max="16384" width="9" style="31"/>
  </cols>
  <sheetData>
    <row r="1" spans="1:12" s="8" customFormat="1" ht="63" customHeight="1">
      <c r="A1" s="269" t="s">
        <v>0</v>
      </c>
      <c r="B1" s="269"/>
      <c r="C1" s="1"/>
      <c r="D1" s="1"/>
      <c r="E1" s="2"/>
      <c r="F1" s="3"/>
      <c r="G1" s="1"/>
      <c r="H1" s="5"/>
      <c r="I1" s="5"/>
      <c r="J1" s="5"/>
      <c r="K1" s="6"/>
      <c r="L1" s="7"/>
    </row>
    <row r="2" spans="1:12" s="8" customFormat="1" ht="23.1" customHeight="1">
      <c r="A2" s="9" t="s">
        <v>1</v>
      </c>
      <c r="B2" s="10"/>
      <c r="C2" s="11"/>
      <c r="D2" s="12"/>
      <c r="E2" s="13"/>
      <c r="F2" s="14"/>
      <c r="G2" s="15"/>
      <c r="H2" s="5"/>
      <c r="I2" s="5"/>
      <c r="J2" s="5"/>
      <c r="K2" s="6"/>
      <c r="L2" s="7"/>
    </row>
    <row r="3" spans="1:12" s="8" customFormat="1" ht="23.1" customHeight="1">
      <c r="A3" s="12" t="s">
        <v>2</v>
      </c>
      <c r="B3" s="10"/>
      <c r="C3" s="11"/>
      <c r="D3" s="12"/>
      <c r="E3" s="13"/>
      <c r="F3" s="12" t="s">
        <v>3</v>
      </c>
      <c r="G3" s="11" t="s">
        <v>4</v>
      </c>
      <c r="H3" s="5"/>
      <c r="I3" s="5"/>
      <c r="J3" s="5"/>
      <c r="K3" s="6"/>
      <c r="L3" s="7"/>
    </row>
    <row r="4" spans="1:12" s="8" customFormat="1" ht="23.1" customHeight="1">
      <c r="A4" s="9" t="s">
        <v>5</v>
      </c>
      <c r="B4" s="270"/>
      <c r="C4" s="270"/>
      <c r="D4" s="270"/>
      <c r="E4" s="16"/>
      <c r="F4" s="12" t="s">
        <v>6</v>
      </c>
      <c r="G4" s="15"/>
      <c r="H4" s="5"/>
      <c r="I4" s="5"/>
      <c r="J4" s="5"/>
      <c r="K4" s="6"/>
      <c r="L4" s="7"/>
    </row>
    <row r="5" spans="1:12" s="8" customFormat="1" ht="23.1" customHeight="1">
      <c r="A5" s="9" t="s">
        <v>7</v>
      </c>
      <c r="B5" s="17"/>
      <c r="C5" s="18"/>
      <c r="D5" s="14"/>
      <c r="E5" s="16"/>
      <c r="F5" s="12" t="s">
        <v>8</v>
      </c>
      <c r="G5" s="19"/>
      <c r="H5" s="5"/>
      <c r="I5" s="5"/>
      <c r="J5" s="5"/>
      <c r="K5" s="6"/>
      <c r="L5" s="7"/>
    </row>
    <row r="6" spans="1:12" s="8" customFormat="1" ht="10.5" customHeight="1" thickBot="1">
      <c r="A6" s="9"/>
      <c r="B6" s="17"/>
      <c r="C6" s="18"/>
      <c r="D6" s="14"/>
      <c r="E6" s="16"/>
      <c r="F6" s="12"/>
      <c r="G6" s="19"/>
      <c r="H6" s="5"/>
      <c r="I6" s="5"/>
      <c r="J6" s="5"/>
      <c r="K6" s="6"/>
      <c r="L6" s="7"/>
    </row>
    <row r="7" spans="1:12" ht="30" customHeight="1" thickBot="1">
      <c r="A7" s="21" t="s">
        <v>9</v>
      </c>
      <c r="B7" s="22" t="s">
        <v>10</v>
      </c>
      <c r="C7" s="23"/>
      <c r="D7" s="24"/>
      <c r="E7" s="25"/>
      <c r="F7" s="26"/>
      <c r="G7" s="27"/>
    </row>
    <row r="8" spans="1:12" s="37" customFormat="1" ht="23.1" customHeight="1">
      <c r="A8" s="32" t="s">
        <v>11</v>
      </c>
      <c r="B8" s="33" t="s">
        <v>12</v>
      </c>
      <c r="C8" s="33" t="s">
        <v>13</v>
      </c>
      <c r="D8" s="34" t="s">
        <v>14</v>
      </c>
      <c r="E8" s="35" t="s">
        <v>15</v>
      </c>
      <c r="F8" s="33" t="s">
        <v>16</v>
      </c>
      <c r="G8" s="36" t="s">
        <v>17</v>
      </c>
      <c r="H8" s="38"/>
      <c r="I8" s="38"/>
      <c r="J8" s="38"/>
      <c r="K8" s="39"/>
      <c r="L8" s="39"/>
    </row>
    <row r="9" spans="1:12" ht="27" customHeight="1">
      <c r="A9" s="40">
        <v>1</v>
      </c>
      <c r="B9" s="41" t="s">
        <v>18</v>
      </c>
      <c r="C9" s="42" t="s">
        <v>19</v>
      </c>
      <c r="D9" s="43"/>
      <c r="E9" s="44">
        <v>0</v>
      </c>
      <c r="F9" s="45">
        <f>E9*D9</f>
        <v>0</v>
      </c>
      <c r="G9" s="46"/>
    </row>
    <row r="10" spans="1:12" ht="27" customHeight="1">
      <c r="A10" s="47">
        <v>2</v>
      </c>
      <c r="B10" s="48" t="s">
        <v>20</v>
      </c>
      <c r="C10" s="49" t="s">
        <v>19</v>
      </c>
      <c r="D10" s="50"/>
      <c r="E10" s="44">
        <v>0</v>
      </c>
      <c r="F10" s="51">
        <f t="shared" ref="F10:F26" si="0">E10*D10</f>
        <v>0</v>
      </c>
      <c r="G10" s="52"/>
    </row>
    <row r="11" spans="1:12" ht="27" customHeight="1">
      <c r="A11" s="47">
        <v>3</v>
      </c>
      <c r="B11" s="48" t="s">
        <v>21</v>
      </c>
      <c r="C11" s="49" t="s">
        <v>19</v>
      </c>
      <c r="D11" s="50"/>
      <c r="E11" s="44">
        <v>0</v>
      </c>
      <c r="F11" s="51">
        <f t="shared" si="0"/>
        <v>0</v>
      </c>
      <c r="G11" s="52"/>
    </row>
    <row r="12" spans="1:12" ht="27" customHeight="1">
      <c r="A12" s="47">
        <v>4</v>
      </c>
      <c r="B12" s="48" t="s">
        <v>22</v>
      </c>
      <c r="C12" s="49" t="s">
        <v>19</v>
      </c>
      <c r="D12" s="50"/>
      <c r="E12" s="44">
        <v>0</v>
      </c>
      <c r="F12" s="51">
        <f t="shared" si="0"/>
        <v>0</v>
      </c>
      <c r="G12" s="52"/>
    </row>
    <row r="13" spans="1:12" ht="27" customHeight="1">
      <c r="A13" s="47">
        <v>5</v>
      </c>
      <c r="B13" s="48" t="s">
        <v>23</v>
      </c>
      <c r="C13" s="49" t="s">
        <v>19</v>
      </c>
      <c r="D13" s="50"/>
      <c r="E13" s="44">
        <v>0</v>
      </c>
      <c r="F13" s="51">
        <f t="shared" si="0"/>
        <v>0</v>
      </c>
      <c r="G13" s="55"/>
    </row>
    <row r="14" spans="1:12" ht="27" customHeight="1">
      <c r="A14" s="47">
        <v>6</v>
      </c>
      <c r="B14" s="48" t="s">
        <v>24</v>
      </c>
      <c r="C14" s="49" t="s">
        <v>25</v>
      </c>
      <c r="D14" s="50"/>
      <c r="E14" s="44">
        <v>0</v>
      </c>
      <c r="F14" s="51">
        <f t="shared" si="0"/>
        <v>0</v>
      </c>
      <c r="G14" s="52"/>
    </row>
    <row r="15" spans="1:12" ht="27" customHeight="1">
      <c r="A15" s="47">
        <v>7</v>
      </c>
      <c r="B15" s="48" t="s">
        <v>26</v>
      </c>
      <c r="C15" s="49" t="s">
        <v>19</v>
      </c>
      <c r="D15" s="50"/>
      <c r="E15" s="44">
        <v>0</v>
      </c>
      <c r="F15" s="51">
        <f t="shared" si="0"/>
        <v>0</v>
      </c>
      <c r="G15" s="52"/>
    </row>
    <row r="16" spans="1:12" ht="27" customHeight="1">
      <c r="A16" s="47">
        <v>8</v>
      </c>
      <c r="B16" s="48" t="s">
        <v>27</v>
      </c>
      <c r="C16" s="49" t="str">
        <f>C15</f>
        <v>kg</v>
      </c>
      <c r="D16" s="50"/>
      <c r="E16" s="44">
        <v>0</v>
      </c>
      <c r="F16" s="51">
        <f t="shared" si="0"/>
        <v>0</v>
      </c>
      <c r="G16" s="55"/>
    </row>
    <row r="17" spans="1:12" ht="27" customHeight="1">
      <c r="A17" s="47">
        <v>9</v>
      </c>
      <c r="B17" s="48" t="s">
        <v>28</v>
      </c>
      <c r="C17" s="49" t="s">
        <v>25</v>
      </c>
      <c r="D17" s="50"/>
      <c r="E17" s="44">
        <v>0</v>
      </c>
      <c r="F17" s="51">
        <f t="shared" si="0"/>
        <v>0</v>
      </c>
      <c r="G17" s="55"/>
    </row>
    <row r="18" spans="1:12" ht="27" customHeight="1">
      <c r="A18" s="47">
        <v>10</v>
      </c>
      <c r="B18" s="48" t="s">
        <v>29</v>
      </c>
      <c r="C18" s="49" t="s">
        <v>30</v>
      </c>
      <c r="D18" s="50"/>
      <c r="E18" s="44">
        <v>0</v>
      </c>
      <c r="F18" s="51">
        <f t="shared" si="0"/>
        <v>0</v>
      </c>
      <c r="G18" s="55"/>
    </row>
    <row r="19" spans="1:12" ht="27" customHeight="1">
      <c r="A19" s="47">
        <v>11</v>
      </c>
      <c r="B19" s="48" t="s">
        <v>31</v>
      </c>
      <c r="C19" s="49" t="s">
        <v>32</v>
      </c>
      <c r="D19" s="50"/>
      <c r="E19" s="44">
        <v>0</v>
      </c>
      <c r="F19" s="51">
        <f t="shared" si="0"/>
        <v>0</v>
      </c>
      <c r="G19" s="55"/>
    </row>
    <row r="20" spans="1:12" ht="27" customHeight="1">
      <c r="A20" s="47">
        <v>12</v>
      </c>
      <c r="B20" s="48" t="s">
        <v>33</v>
      </c>
      <c r="C20" s="49" t="s">
        <v>32</v>
      </c>
      <c r="D20" s="50"/>
      <c r="E20" s="44">
        <v>0</v>
      </c>
      <c r="F20" s="51">
        <f t="shared" si="0"/>
        <v>0</v>
      </c>
      <c r="G20" s="55"/>
    </row>
    <row r="21" spans="1:12" ht="27" customHeight="1">
      <c r="A21" s="47">
        <v>13</v>
      </c>
      <c r="B21" s="48" t="s">
        <v>34</v>
      </c>
      <c r="C21" s="49" t="s">
        <v>35</v>
      </c>
      <c r="D21" s="50"/>
      <c r="E21" s="44">
        <v>0</v>
      </c>
      <c r="F21" s="51">
        <f t="shared" si="0"/>
        <v>0</v>
      </c>
      <c r="G21" s="55"/>
    </row>
    <row r="22" spans="1:12" ht="27" customHeight="1">
      <c r="A22" s="47">
        <v>14</v>
      </c>
      <c r="B22" s="59" t="s">
        <v>36</v>
      </c>
      <c r="C22" s="49" t="s">
        <v>37</v>
      </c>
      <c r="D22" s="50"/>
      <c r="E22" s="44">
        <v>0</v>
      </c>
      <c r="F22" s="51">
        <f>E22*D22</f>
        <v>0</v>
      </c>
      <c r="G22" s="55" t="s">
        <v>38</v>
      </c>
    </row>
    <row r="23" spans="1:12" ht="27" customHeight="1">
      <c r="A23" s="47">
        <v>15</v>
      </c>
      <c r="B23" s="59" t="s">
        <v>39</v>
      </c>
      <c r="C23" s="49" t="s">
        <v>40</v>
      </c>
      <c r="D23" s="50"/>
      <c r="E23" s="44">
        <v>0</v>
      </c>
      <c r="F23" s="51">
        <f>E23*D23</f>
        <v>0</v>
      </c>
      <c r="G23" s="55"/>
    </row>
    <row r="24" spans="1:12" ht="27" customHeight="1">
      <c r="A24" s="47">
        <v>16</v>
      </c>
      <c r="B24" s="59" t="s">
        <v>41</v>
      </c>
      <c r="C24" s="49" t="s">
        <v>42</v>
      </c>
      <c r="D24" s="50"/>
      <c r="E24" s="44">
        <v>0</v>
      </c>
      <c r="F24" s="51">
        <f t="shared" si="0"/>
        <v>0</v>
      </c>
      <c r="G24" s="55"/>
    </row>
    <row r="25" spans="1:12" ht="27" customHeight="1">
      <c r="A25" s="47">
        <v>17</v>
      </c>
      <c r="B25" s="48" t="s">
        <v>43</v>
      </c>
      <c r="C25" s="49" t="s">
        <v>42</v>
      </c>
      <c r="D25" s="50"/>
      <c r="E25" s="44">
        <v>0</v>
      </c>
      <c r="F25" s="51">
        <f t="shared" si="0"/>
        <v>0</v>
      </c>
      <c r="G25" s="55"/>
    </row>
    <row r="26" spans="1:12" ht="27" customHeight="1">
      <c r="A26" s="47">
        <v>18</v>
      </c>
      <c r="B26" s="59" t="s">
        <v>44</v>
      </c>
      <c r="C26" s="49" t="s">
        <v>45</v>
      </c>
      <c r="D26" s="50"/>
      <c r="E26" s="44">
        <v>0</v>
      </c>
      <c r="F26" s="51">
        <f t="shared" si="0"/>
        <v>0</v>
      </c>
      <c r="G26" s="55" t="s">
        <v>46</v>
      </c>
    </row>
    <row r="27" spans="1:12" ht="20.100000000000001" customHeight="1">
      <c r="A27" s="60"/>
      <c r="B27" s="61"/>
      <c r="C27" s="62"/>
      <c r="D27" s="63"/>
      <c r="E27" s="64"/>
      <c r="F27" s="65"/>
      <c r="G27" s="66"/>
    </row>
    <row r="28" spans="1:12" ht="27" customHeight="1" thickBot="1">
      <c r="A28" s="67"/>
      <c r="B28" s="68" t="s">
        <v>47</v>
      </c>
      <c r="C28" s="69"/>
      <c r="D28" s="70"/>
      <c r="E28" s="71"/>
      <c r="F28" s="72">
        <f>SUM(F9:F26)</f>
        <v>0</v>
      </c>
      <c r="G28" s="73"/>
    </row>
    <row r="29" spans="1:12" ht="30" customHeight="1" thickBot="1">
      <c r="A29" s="21" t="s">
        <v>48</v>
      </c>
      <c r="B29" s="22" t="s">
        <v>49</v>
      </c>
      <c r="C29" s="23"/>
      <c r="D29" s="24"/>
      <c r="E29" s="25"/>
      <c r="F29" s="74">
        <f>F36</f>
        <v>0</v>
      </c>
      <c r="G29" s="27"/>
    </row>
    <row r="30" spans="1:12" s="37" customFormat="1" ht="23.1" customHeight="1">
      <c r="A30" s="32" t="s">
        <v>11</v>
      </c>
      <c r="B30" s="33" t="s">
        <v>12</v>
      </c>
      <c r="C30" s="33" t="s">
        <v>13</v>
      </c>
      <c r="D30" s="34" t="s">
        <v>14</v>
      </c>
      <c r="E30" s="35" t="s">
        <v>15</v>
      </c>
      <c r="F30" s="33" t="s">
        <v>16</v>
      </c>
      <c r="G30" s="36" t="s">
        <v>17</v>
      </c>
      <c r="H30" s="38"/>
      <c r="I30" s="38"/>
      <c r="J30" s="38"/>
      <c r="K30" s="39"/>
      <c r="L30" s="39"/>
    </row>
    <row r="31" spans="1:12" ht="27" customHeight="1">
      <c r="A31" s="75">
        <v>1</v>
      </c>
      <c r="B31" s="76" t="s">
        <v>50</v>
      </c>
      <c r="C31" s="77" t="s">
        <v>51</v>
      </c>
      <c r="D31" s="78"/>
      <c r="E31" s="79">
        <v>0</v>
      </c>
      <c r="F31" s="80">
        <f>E31*D31</f>
        <v>0</v>
      </c>
      <c r="G31" s="81"/>
    </row>
    <row r="32" spans="1:12" ht="27" customHeight="1">
      <c r="A32" s="75">
        <v>2</v>
      </c>
      <c r="B32" s="82" t="s">
        <v>52</v>
      </c>
      <c r="C32" s="77" t="s">
        <v>53</v>
      </c>
      <c r="D32" s="83"/>
      <c r="E32" s="79">
        <v>0</v>
      </c>
      <c r="F32" s="80">
        <f>D32*E32</f>
        <v>0</v>
      </c>
      <c r="G32" s="84"/>
    </row>
    <row r="33" spans="1:12" s="20" customFormat="1" ht="27" customHeight="1">
      <c r="A33" s="75">
        <v>3</v>
      </c>
      <c r="B33" s="82" t="s">
        <v>54</v>
      </c>
      <c r="C33" s="85" t="s">
        <v>42</v>
      </c>
      <c r="D33" s="86"/>
      <c r="E33" s="79">
        <v>0</v>
      </c>
      <c r="F33" s="80">
        <f>E33*D33</f>
        <v>0</v>
      </c>
      <c r="G33" s="87"/>
      <c r="H33" s="28"/>
      <c r="I33" s="28"/>
      <c r="J33" s="28"/>
      <c r="K33" s="29"/>
      <c r="L33" s="30"/>
    </row>
    <row r="34" spans="1:12" s="20" customFormat="1" ht="27" customHeight="1">
      <c r="A34" s="75">
        <v>4</v>
      </c>
      <c r="B34" s="82" t="s">
        <v>55</v>
      </c>
      <c r="C34" s="77" t="s">
        <v>40</v>
      </c>
      <c r="D34" s="86"/>
      <c r="E34" s="79">
        <v>0</v>
      </c>
      <c r="F34" s="80">
        <f t="shared" ref="F34" si="1">E34*D34</f>
        <v>0</v>
      </c>
      <c r="G34" s="87"/>
      <c r="H34" s="28"/>
      <c r="I34" s="28"/>
      <c r="J34" s="28"/>
      <c r="K34" s="29"/>
      <c r="L34" s="30"/>
    </row>
    <row r="35" spans="1:12" s="20" customFormat="1" ht="20.100000000000001" customHeight="1">
      <c r="A35" s="75"/>
      <c r="B35" s="82"/>
      <c r="C35" s="88"/>
      <c r="D35" s="83"/>
      <c r="E35" s="79"/>
      <c r="F35" s="80"/>
      <c r="G35" s="84"/>
      <c r="H35" s="28"/>
      <c r="I35" s="28"/>
      <c r="J35" s="28"/>
      <c r="K35" s="29"/>
      <c r="L35" s="30"/>
    </row>
    <row r="36" spans="1:12" s="20" customFormat="1" ht="27" customHeight="1" thickBot="1">
      <c r="A36" s="67"/>
      <c r="B36" s="68" t="s">
        <v>47</v>
      </c>
      <c r="C36" s="69"/>
      <c r="D36" s="70"/>
      <c r="E36" s="71"/>
      <c r="F36" s="72">
        <f>SUM(F31:F34)</f>
        <v>0</v>
      </c>
      <c r="G36" s="73"/>
      <c r="H36" s="28"/>
      <c r="I36" s="28"/>
      <c r="J36" s="28"/>
      <c r="K36" s="29"/>
      <c r="L36" s="30"/>
    </row>
    <row r="37" spans="1:12" s="20" customFormat="1" ht="30" customHeight="1" thickBot="1">
      <c r="A37" s="21" t="s">
        <v>56</v>
      </c>
      <c r="B37" s="22" t="s">
        <v>57</v>
      </c>
      <c r="C37" s="23"/>
      <c r="D37" s="24"/>
      <c r="E37" s="25"/>
      <c r="F37" s="26"/>
      <c r="G37" s="27"/>
      <c r="H37" s="28"/>
      <c r="I37" s="28"/>
      <c r="J37" s="28"/>
      <c r="K37" s="29"/>
      <c r="L37" s="30"/>
    </row>
    <row r="38" spans="1:12" s="20" customFormat="1" ht="27" customHeight="1">
      <c r="A38" s="32" t="s">
        <v>11</v>
      </c>
      <c r="B38" s="33" t="s">
        <v>12</v>
      </c>
      <c r="C38" s="33" t="s">
        <v>13</v>
      </c>
      <c r="D38" s="34" t="s">
        <v>14</v>
      </c>
      <c r="E38" s="35" t="s">
        <v>15</v>
      </c>
      <c r="F38" s="33" t="s">
        <v>16</v>
      </c>
      <c r="G38" s="36" t="s">
        <v>17</v>
      </c>
      <c r="H38" s="28"/>
      <c r="I38" s="28"/>
      <c r="J38" s="28"/>
      <c r="K38" s="29"/>
      <c r="L38" s="30"/>
    </row>
    <row r="39" spans="1:12" s="20" customFormat="1" ht="27" customHeight="1">
      <c r="A39" s="75">
        <v>1</v>
      </c>
      <c r="B39" s="82" t="s">
        <v>58</v>
      </c>
      <c r="C39" s="85" t="s">
        <v>42</v>
      </c>
      <c r="D39" s="86"/>
      <c r="E39" s="79">
        <v>0</v>
      </c>
      <c r="F39" s="80">
        <f t="shared" ref="F39:F43" si="2">E39*D39</f>
        <v>0</v>
      </c>
      <c r="G39" s="89"/>
      <c r="H39" s="28"/>
      <c r="I39" s="28"/>
      <c r="J39" s="28"/>
      <c r="K39" s="29"/>
      <c r="L39" s="30"/>
    </row>
    <row r="40" spans="1:12" s="20" customFormat="1" ht="27" customHeight="1">
      <c r="A40" s="47">
        <v>2</v>
      </c>
      <c r="B40" s="90" t="s">
        <v>59</v>
      </c>
      <c r="C40" s="53" t="s">
        <v>40</v>
      </c>
      <c r="D40" s="86"/>
      <c r="E40" s="91">
        <v>0</v>
      </c>
      <c r="F40" s="92">
        <f t="shared" si="2"/>
        <v>0</v>
      </c>
      <c r="G40" s="93"/>
      <c r="H40" s="28"/>
      <c r="I40" s="28"/>
      <c r="J40" s="28"/>
      <c r="K40" s="29"/>
      <c r="L40" s="30"/>
    </row>
    <row r="41" spans="1:12" s="20" customFormat="1" ht="27" customHeight="1">
      <c r="A41" s="47">
        <v>3</v>
      </c>
      <c r="B41" s="90" t="s">
        <v>60</v>
      </c>
      <c r="C41" s="49" t="s">
        <v>42</v>
      </c>
      <c r="D41" s="86"/>
      <c r="E41" s="91">
        <v>0</v>
      </c>
      <c r="F41" s="92">
        <f t="shared" si="2"/>
        <v>0</v>
      </c>
      <c r="G41" s="54"/>
      <c r="H41" s="28"/>
      <c r="I41" s="28"/>
      <c r="J41" s="28"/>
      <c r="K41" s="29"/>
      <c r="L41" s="30"/>
    </row>
    <row r="42" spans="1:12" s="20" customFormat="1" ht="27" customHeight="1">
      <c r="A42" s="47">
        <v>4</v>
      </c>
      <c r="B42" s="90" t="s">
        <v>61</v>
      </c>
      <c r="C42" s="53" t="s">
        <v>62</v>
      </c>
      <c r="D42" s="86"/>
      <c r="E42" s="91">
        <v>0</v>
      </c>
      <c r="F42" s="92">
        <f t="shared" si="2"/>
        <v>0</v>
      </c>
      <c r="G42" s="93"/>
      <c r="H42" s="28"/>
      <c r="I42" s="28"/>
      <c r="J42" s="28"/>
      <c r="K42" s="29"/>
      <c r="L42" s="30"/>
    </row>
    <row r="43" spans="1:12" s="20" customFormat="1" ht="27" customHeight="1">
      <c r="A43" s="47">
        <v>5</v>
      </c>
      <c r="B43" s="90" t="s">
        <v>63</v>
      </c>
      <c r="C43" s="53" t="s">
        <v>62</v>
      </c>
      <c r="D43" s="86"/>
      <c r="E43" s="91">
        <v>0</v>
      </c>
      <c r="F43" s="92">
        <f t="shared" si="2"/>
        <v>0</v>
      </c>
      <c r="G43" s="93"/>
      <c r="H43" s="28"/>
      <c r="I43" s="28"/>
      <c r="J43" s="28"/>
      <c r="K43" s="29"/>
      <c r="L43" s="30"/>
    </row>
    <row r="44" spans="1:12" s="20" customFormat="1" ht="20.100000000000001" customHeight="1">
      <c r="A44" s="94"/>
      <c r="B44" s="95"/>
      <c r="C44" s="96"/>
      <c r="D44" s="97"/>
      <c r="E44" s="98"/>
      <c r="F44" s="99"/>
      <c r="G44" s="100"/>
      <c r="H44" s="28"/>
      <c r="I44" s="28"/>
      <c r="J44" s="28"/>
      <c r="K44" s="29"/>
      <c r="L44" s="30"/>
    </row>
    <row r="45" spans="1:12" s="20" customFormat="1" ht="27" customHeight="1" thickBot="1">
      <c r="A45" s="58"/>
      <c r="B45" s="101" t="s">
        <v>47</v>
      </c>
      <c r="C45" s="102"/>
      <c r="D45" s="103"/>
      <c r="E45" s="104"/>
      <c r="F45" s="105">
        <f>SUM(F39:F43)</f>
        <v>0</v>
      </c>
      <c r="G45" s="106"/>
      <c r="H45" s="28"/>
      <c r="I45" s="28"/>
      <c r="J45" s="28"/>
      <c r="K45" s="29"/>
      <c r="L45" s="30"/>
    </row>
    <row r="46" spans="1:12" s="20" customFormat="1" ht="30" customHeight="1" thickBot="1">
      <c r="A46" s="21" t="s">
        <v>64</v>
      </c>
      <c r="B46" s="22" t="s">
        <v>65</v>
      </c>
      <c r="C46" s="23"/>
      <c r="D46" s="24"/>
      <c r="E46" s="25"/>
      <c r="F46" s="74">
        <f>F51</f>
        <v>0</v>
      </c>
      <c r="G46" s="27"/>
      <c r="H46" s="28"/>
      <c r="I46" s="28"/>
      <c r="J46" s="28"/>
      <c r="K46" s="29"/>
      <c r="L46" s="30"/>
    </row>
    <row r="47" spans="1:12" s="20" customFormat="1" ht="27" customHeight="1">
      <c r="A47" s="32" t="s">
        <v>11</v>
      </c>
      <c r="B47" s="33" t="s">
        <v>12</v>
      </c>
      <c r="C47" s="33" t="s">
        <v>13</v>
      </c>
      <c r="D47" s="34" t="s">
        <v>14</v>
      </c>
      <c r="E47" s="35" t="s">
        <v>15</v>
      </c>
      <c r="F47" s="33" t="s">
        <v>16</v>
      </c>
      <c r="G47" s="36" t="s">
        <v>17</v>
      </c>
      <c r="H47" s="28"/>
      <c r="I47" s="28"/>
      <c r="J47" s="28"/>
      <c r="K47" s="29"/>
      <c r="L47" s="30"/>
    </row>
    <row r="48" spans="1:12" s="20" customFormat="1" ht="27" customHeight="1">
      <c r="A48" s="47">
        <v>1</v>
      </c>
      <c r="B48" s="59" t="s">
        <v>66</v>
      </c>
      <c r="C48" s="107" t="s">
        <v>37</v>
      </c>
      <c r="D48" s="108"/>
      <c r="E48" s="109">
        <v>0</v>
      </c>
      <c r="F48" s="110">
        <f t="shared" ref="F48:F49" si="3">E48*D48</f>
        <v>0</v>
      </c>
      <c r="G48" s="111"/>
      <c r="H48" s="28"/>
      <c r="I48" s="28"/>
      <c r="J48" s="28"/>
      <c r="K48" s="29"/>
      <c r="L48" s="30"/>
    </row>
    <row r="49" spans="1:13" ht="27" customHeight="1">
      <c r="A49" s="47">
        <v>2</v>
      </c>
      <c r="B49" s="59" t="s">
        <v>67</v>
      </c>
      <c r="C49" s="107" t="s">
        <v>68</v>
      </c>
      <c r="D49" s="108"/>
      <c r="E49" s="109">
        <v>0</v>
      </c>
      <c r="F49" s="110">
        <f t="shared" si="3"/>
        <v>0</v>
      </c>
      <c r="G49" s="111"/>
    </row>
    <row r="50" spans="1:13" ht="20.100000000000001" customHeight="1">
      <c r="A50" s="112"/>
      <c r="B50" s="113"/>
      <c r="C50" s="114"/>
      <c r="D50" s="115"/>
      <c r="E50" s="116"/>
      <c r="F50" s="117"/>
      <c r="G50" s="118"/>
    </row>
    <row r="51" spans="1:13" ht="27" customHeight="1" thickBot="1">
      <c r="A51" s="58"/>
      <c r="B51" s="101" t="s">
        <v>69</v>
      </c>
      <c r="C51" s="56"/>
      <c r="D51" s="119"/>
      <c r="E51" s="104"/>
      <c r="F51" s="120">
        <f>SUM(F48:F49)</f>
        <v>0</v>
      </c>
      <c r="G51" s="121"/>
    </row>
    <row r="52" spans="1:13" ht="30" customHeight="1" thickBot="1">
      <c r="A52" s="21" t="s">
        <v>70</v>
      </c>
      <c r="B52" s="22" t="s">
        <v>71</v>
      </c>
      <c r="C52" s="23"/>
      <c r="D52" s="24"/>
      <c r="E52" s="25"/>
      <c r="F52" s="74">
        <f>F58</f>
        <v>0</v>
      </c>
      <c r="G52" s="27"/>
    </row>
    <row r="53" spans="1:13" ht="27" customHeight="1">
      <c r="A53" s="32" t="s">
        <v>11</v>
      </c>
      <c r="B53" s="33" t="s">
        <v>12</v>
      </c>
      <c r="C53" s="33" t="s">
        <v>13</v>
      </c>
      <c r="D53" s="34" t="s">
        <v>14</v>
      </c>
      <c r="E53" s="35" t="s">
        <v>15</v>
      </c>
      <c r="F53" s="33" t="s">
        <v>16</v>
      </c>
      <c r="G53" s="36" t="s">
        <v>17</v>
      </c>
    </row>
    <row r="54" spans="1:13" ht="27" customHeight="1">
      <c r="A54" s="122">
        <v>1</v>
      </c>
      <c r="B54" s="123" t="s">
        <v>72</v>
      </c>
      <c r="C54" s="49" t="s">
        <v>42</v>
      </c>
      <c r="D54" s="83"/>
      <c r="E54" s="91">
        <v>0</v>
      </c>
      <c r="F54" s="124"/>
      <c r="G54" s="55"/>
    </row>
    <row r="55" spans="1:13" ht="27" customHeight="1">
      <c r="A55" s="47">
        <v>1.1000000000000001</v>
      </c>
      <c r="B55" s="125" t="s">
        <v>73</v>
      </c>
      <c r="C55" s="53" t="s">
        <v>74</v>
      </c>
      <c r="D55" s="83"/>
      <c r="E55" s="91">
        <v>0</v>
      </c>
      <c r="F55" s="124">
        <f>D55*E55</f>
        <v>0</v>
      </c>
      <c r="G55" s="126"/>
    </row>
    <row r="56" spans="1:13" ht="27" customHeight="1">
      <c r="A56" s="122">
        <v>2</v>
      </c>
      <c r="B56" s="123" t="s">
        <v>75</v>
      </c>
      <c r="C56" s="49" t="s">
        <v>42</v>
      </c>
      <c r="D56" s="83"/>
      <c r="E56" s="91">
        <v>0</v>
      </c>
      <c r="F56" s="124">
        <f>D56*E56</f>
        <v>0</v>
      </c>
      <c r="G56" s="55"/>
    </row>
    <row r="57" spans="1:13" ht="20.100000000000001" customHeight="1">
      <c r="A57" s="112"/>
      <c r="B57" s="127"/>
      <c r="C57" s="128"/>
      <c r="D57" s="129"/>
      <c r="E57" s="130"/>
      <c r="F57" s="131"/>
      <c r="G57" s="132"/>
    </row>
    <row r="58" spans="1:13" ht="27" customHeight="1" thickBot="1">
      <c r="A58" s="112"/>
      <c r="B58" s="113" t="s">
        <v>76</v>
      </c>
      <c r="C58" s="128"/>
      <c r="D58" s="133"/>
      <c r="E58" s="130"/>
      <c r="F58" s="134">
        <f>SUM(F55:F56)</f>
        <v>0</v>
      </c>
      <c r="G58" s="118"/>
    </row>
    <row r="59" spans="1:13" ht="30" customHeight="1" thickBot="1">
      <c r="A59" s="21" t="s">
        <v>77</v>
      </c>
      <c r="B59" s="22" t="s">
        <v>78</v>
      </c>
      <c r="C59" s="23"/>
      <c r="D59" s="24"/>
      <c r="E59" s="25"/>
      <c r="F59" s="74">
        <f>F83</f>
        <v>0</v>
      </c>
      <c r="G59" s="27"/>
    </row>
    <row r="60" spans="1:13" ht="27" customHeight="1">
      <c r="A60" s="32" t="s">
        <v>11</v>
      </c>
      <c r="B60" s="33" t="s">
        <v>12</v>
      </c>
      <c r="C60" s="33" t="s">
        <v>13</v>
      </c>
      <c r="D60" s="34" t="s">
        <v>14</v>
      </c>
      <c r="E60" s="35" t="s">
        <v>15</v>
      </c>
      <c r="F60" s="33" t="s">
        <v>16</v>
      </c>
      <c r="G60" s="36" t="s">
        <v>17</v>
      </c>
    </row>
    <row r="61" spans="1:13" ht="27" customHeight="1">
      <c r="A61" s="135">
        <v>1</v>
      </c>
      <c r="B61" s="136" t="s">
        <v>79</v>
      </c>
      <c r="C61" s="137"/>
      <c r="D61" s="138"/>
      <c r="E61" s="139"/>
      <c r="F61" s="140"/>
      <c r="G61" s="141"/>
      <c r="L61" s="29"/>
      <c r="M61" s="30"/>
    </row>
    <row r="62" spans="1:13" ht="27" customHeight="1">
      <c r="A62" s="47">
        <v>1.1000000000000001</v>
      </c>
      <c r="B62" s="48" t="s">
        <v>80</v>
      </c>
      <c r="C62" s="271" t="s">
        <v>81</v>
      </c>
      <c r="D62" s="274"/>
      <c r="E62" s="259">
        <v>0</v>
      </c>
      <c r="F62" s="277">
        <f>E62*D62</f>
        <v>0</v>
      </c>
      <c r="G62" s="280"/>
      <c r="L62" s="29"/>
      <c r="M62" s="30"/>
    </row>
    <row r="63" spans="1:13" s="142" customFormat="1" ht="27" customHeight="1">
      <c r="A63" s="47">
        <v>1.2</v>
      </c>
      <c r="B63" s="48" t="s">
        <v>82</v>
      </c>
      <c r="C63" s="272"/>
      <c r="D63" s="275"/>
      <c r="E63" s="260"/>
      <c r="F63" s="278"/>
      <c r="G63" s="281"/>
      <c r="H63" s="28"/>
      <c r="I63" s="28"/>
      <c r="J63" s="28"/>
      <c r="K63" s="29"/>
      <c r="L63" s="143"/>
      <c r="M63" s="144"/>
    </row>
    <row r="64" spans="1:13" ht="27" customHeight="1">
      <c r="A64" s="47">
        <v>1.3</v>
      </c>
      <c r="B64" s="48" t="s">
        <v>83</v>
      </c>
      <c r="C64" s="273"/>
      <c r="D64" s="276"/>
      <c r="E64" s="261"/>
      <c r="F64" s="279"/>
      <c r="G64" s="282"/>
      <c r="L64" s="29"/>
      <c r="M64" s="30"/>
    </row>
    <row r="65" spans="1:13" ht="54" customHeight="1">
      <c r="A65" s="47">
        <v>1.4</v>
      </c>
      <c r="B65" s="148" t="s">
        <v>84</v>
      </c>
      <c r="C65" s="42" t="s">
        <v>85</v>
      </c>
      <c r="D65" s="145"/>
      <c r="E65" s="146">
        <v>0</v>
      </c>
      <c r="F65" s="147">
        <f>E65*D65</f>
        <v>0</v>
      </c>
      <c r="G65" s="111"/>
      <c r="L65" s="29"/>
      <c r="M65" s="30"/>
    </row>
    <row r="66" spans="1:13" s="142" customFormat="1" ht="20.100000000000001" customHeight="1">
      <c r="A66" s="47"/>
      <c r="B66" s="148"/>
      <c r="C66" s="85"/>
      <c r="D66" s="86"/>
      <c r="E66" s="149"/>
      <c r="F66" s="124"/>
      <c r="G66" s="111"/>
      <c r="H66" s="28"/>
      <c r="I66" s="28"/>
      <c r="J66" s="28"/>
      <c r="K66" s="29"/>
      <c r="L66" s="143"/>
      <c r="M66" s="144"/>
    </row>
    <row r="67" spans="1:13" ht="27" customHeight="1">
      <c r="A67" s="135">
        <v>2</v>
      </c>
      <c r="B67" s="136" t="s">
        <v>86</v>
      </c>
      <c r="C67" s="137"/>
      <c r="D67" s="138"/>
      <c r="E67" s="139"/>
      <c r="F67" s="140"/>
      <c r="G67" s="141"/>
      <c r="L67" s="29"/>
      <c r="M67" s="30"/>
    </row>
    <row r="68" spans="1:13" ht="27" customHeight="1">
      <c r="A68" s="47">
        <v>2.1</v>
      </c>
      <c r="B68" s="150" t="s">
        <v>87</v>
      </c>
      <c r="C68" s="254" t="s">
        <v>81</v>
      </c>
      <c r="D68" s="256"/>
      <c r="E68" s="259">
        <v>0</v>
      </c>
      <c r="F68" s="262">
        <f>E68*D68</f>
        <v>0</v>
      </c>
      <c r="G68" s="141"/>
      <c r="L68" s="29"/>
      <c r="M68" s="30"/>
    </row>
    <row r="69" spans="1:13" ht="27" customHeight="1">
      <c r="A69" s="47">
        <v>2.2000000000000002</v>
      </c>
      <c r="B69" s="150" t="s">
        <v>88</v>
      </c>
      <c r="C69" s="255"/>
      <c r="D69" s="257"/>
      <c r="E69" s="260"/>
      <c r="F69" s="263"/>
      <c r="G69" s="141"/>
      <c r="L69" s="29"/>
      <c r="M69" s="30"/>
    </row>
    <row r="70" spans="1:13" ht="27" customHeight="1">
      <c r="A70" s="47">
        <v>2.2999999999999998</v>
      </c>
      <c r="B70" s="150" t="s">
        <v>89</v>
      </c>
      <c r="C70" s="255"/>
      <c r="D70" s="257"/>
      <c r="E70" s="260"/>
      <c r="F70" s="263"/>
      <c r="G70" s="141"/>
      <c r="L70" s="29"/>
      <c r="M70" s="30"/>
    </row>
    <row r="71" spans="1:13" ht="27" customHeight="1">
      <c r="A71" s="47">
        <v>2.4</v>
      </c>
      <c r="B71" s="150" t="s">
        <v>90</v>
      </c>
      <c r="C71" s="255"/>
      <c r="D71" s="257"/>
      <c r="E71" s="260"/>
      <c r="F71" s="263"/>
      <c r="G71" s="141"/>
      <c r="L71" s="29"/>
      <c r="M71" s="30"/>
    </row>
    <row r="72" spans="1:13" ht="27" customHeight="1">
      <c r="A72" s="47">
        <v>2.5</v>
      </c>
      <c r="B72" s="150" t="s">
        <v>91</v>
      </c>
      <c r="C72" s="255"/>
      <c r="D72" s="257"/>
      <c r="E72" s="260"/>
      <c r="F72" s="263"/>
      <c r="G72" s="141"/>
      <c r="H72" s="20"/>
      <c r="I72" s="20"/>
      <c r="L72" s="29"/>
      <c r="M72" s="30"/>
    </row>
    <row r="73" spans="1:13" ht="27" customHeight="1">
      <c r="A73" s="47">
        <v>2.6</v>
      </c>
      <c r="B73" s="150" t="s">
        <v>92</v>
      </c>
      <c r="C73" s="255"/>
      <c r="D73" s="257"/>
      <c r="E73" s="260"/>
      <c r="F73" s="263"/>
      <c r="G73" s="141"/>
      <c r="H73" s="20"/>
      <c r="I73" s="20"/>
      <c r="L73" s="29"/>
      <c r="M73" s="30"/>
    </row>
    <row r="74" spans="1:13" ht="27" customHeight="1">
      <c r="A74" s="47">
        <v>2.7</v>
      </c>
      <c r="B74" s="150" t="s">
        <v>93</v>
      </c>
      <c r="C74" s="255"/>
      <c r="D74" s="257"/>
      <c r="E74" s="260"/>
      <c r="F74" s="263"/>
      <c r="G74" s="141"/>
      <c r="H74" s="20"/>
      <c r="I74" s="20"/>
      <c r="L74" s="29"/>
      <c r="M74" s="30"/>
    </row>
    <row r="75" spans="1:13" ht="54" customHeight="1">
      <c r="A75" s="47">
        <v>2.8</v>
      </c>
      <c r="B75" s="148" t="s">
        <v>84</v>
      </c>
      <c r="C75" s="253"/>
      <c r="D75" s="258"/>
      <c r="E75" s="261"/>
      <c r="F75" s="264"/>
      <c r="G75" s="141"/>
      <c r="H75" s="20"/>
      <c r="I75" s="20"/>
      <c r="L75" s="29"/>
      <c r="M75" s="30"/>
    </row>
    <row r="76" spans="1:13" s="142" customFormat="1" ht="20.100000000000001" customHeight="1">
      <c r="B76" s="48"/>
      <c r="C76" s="49"/>
      <c r="D76" s="86"/>
      <c r="E76" s="152"/>
      <c r="F76" s="124"/>
      <c r="G76" s="111"/>
      <c r="H76" s="28"/>
      <c r="I76" s="28"/>
      <c r="J76" s="28"/>
      <c r="K76" s="29"/>
      <c r="L76" s="143"/>
      <c r="M76" s="144"/>
    </row>
    <row r="77" spans="1:13" s="142" customFormat="1" ht="27" customHeight="1">
      <c r="A77" s="47">
        <v>3</v>
      </c>
      <c r="B77" s="48" t="s">
        <v>94</v>
      </c>
      <c r="C77" s="85" t="s">
        <v>40</v>
      </c>
      <c r="D77" s="86"/>
      <c r="E77" s="152">
        <v>0</v>
      </c>
      <c r="F77" s="124"/>
      <c r="G77" s="153"/>
      <c r="H77" s="28"/>
      <c r="I77" s="28"/>
      <c r="J77" s="28"/>
      <c r="K77" s="29"/>
      <c r="L77" s="143"/>
      <c r="M77" s="144"/>
    </row>
    <row r="78" spans="1:13" s="142" customFormat="1" ht="27" customHeight="1">
      <c r="A78" s="47">
        <v>4</v>
      </c>
      <c r="B78" s="148" t="s">
        <v>95</v>
      </c>
      <c r="C78" s="85" t="s">
        <v>96</v>
      </c>
      <c r="D78" s="86"/>
      <c r="E78" s="149">
        <v>0</v>
      </c>
      <c r="F78" s="124"/>
      <c r="G78" s="111"/>
      <c r="H78" s="28"/>
      <c r="I78" s="28"/>
      <c r="J78" s="28"/>
      <c r="K78" s="29"/>
      <c r="L78" s="143"/>
      <c r="M78" s="144"/>
    </row>
    <row r="79" spans="1:13" ht="27" customHeight="1">
      <c r="A79" s="47">
        <v>5</v>
      </c>
      <c r="B79" s="125" t="s">
        <v>97</v>
      </c>
      <c r="C79" s="53" t="s">
        <v>98</v>
      </c>
      <c r="D79" s="83"/>
      <c r="E79" s="154">
        <v>0</v>
      </c>
      <c r="F79" s="124"/>
      <c r="G79" s="55"/>
    </row>
    <row r="80" spans="1:13" ht="27" customHeight="1">
      <c r="A80" s="47">
        <v>6</v>
      </c>
      <c r="B80" s="125" t="s">
        <v>99</v>
      </c>
      <c r="C80" s="53" t="s">
        <v>40</v>
      </c>
      <c r="D80" s="83"/>
      <c r="E80" s="154">
        <v>0</v>
      </c>
      <c r="F80" s="124"/>
      <c r="G80" s="55"/>
    </row>
    <row r="81" spans="1:16" ht="27" customHeight="1">
      <c r="A81" s="47">
        <v>7</v>
      </c>
      <c r="B81" s="90" t="s">
        <v>100</v>
      </c>
      <c r="C81" s="53" t="s">
        <v>40</v>
      </c>
      <c r="D81" s="86"/>
      <c r="E81" s="154">
        <v>0</v>
      </c>
      <c r="F81" s="124"/>
      <c r="G81" s="155"/>
    </row>
    <row r="82" spans="1:16" ht="20.100000000000001" customHeight="1">
      <c r="A82" s="47"/>
      <c r="B82" s="148"/>
      <c r="C82" s="85"/>
      <c r="D82" s="86"/>
      <c r="E82" s="149"/>
      <c r="F82" s="124"/>
      <c r="G82" s="111"/>
    </row>
    <row r="83" spans="1:16" ht="27" customHeight="1" thickBot="1">
      <c r="A83" s="94"/>
      <c r="B83" s="156" t="s">
        <v>76</v>
      </c>
      <c r="C83" s="96"/>
      <c r="D83" s="151"/>
      <c r="E83" s="98"/>
      <c r="F83" s="124">
        <f>SUM(F62:F81)</f>
        <v>0</v>
      </c>
      <c r="G83" s="157"/>
    </row>
    <row r="84" spans="1:16" ht="30" customHeight="1" thickBot="1">
      <c r="A84" s="21" t="s">
        <v>101</v>
      </c>
      <c r="B84" s="22" t="s">
        <v>102</v>
      </c>
      <c r="C84" s="23"/>
      <c r="D84" s="24"/>
      <c r="E84" s="25"/>
      <c r="F84" s="26"/>
      <c r="G84" s="27"/>
    </row>
    <row r="85" spans="1:16" ht="27" customHeight="1">
      <c r="A85" s="32" t="s">
        <v>11</v>
      </c>
      <c r="B85" s="33" t="s">
        <v>12</v>
      </c>
      <c r="C85" s="33" t="s">
        <v>13</v>
      </c>
      <c r="D85" s="34" t="s">
        <v>14</v>
      </c>
      <c r="E85" s="35" t="s">
        <v>15</v>
      </c>
      <c r="F85" s="33" t="s">
        <v>16</v>
      </c>
      <c r="G85" s="36" t="s">
        <v>17</v>
      </c>
    </row>
    <row r="86" spans="1:16" ht="27" customHeight="1">
      <c r="A86" s="47">
        <v>1</v>
      </c>
      <c r="B86" s="158" t="s">
        <v>103</v>
      </c>
      <c r="C86" s="49" t="s">
        <v>42</v>
      </c>
      <c r="D86" s="86"/>
      <c r="E86" s="91">
        <v>0</v>
      </c>
      <c r="F86" s="124">
        <f t="shared" ref="F86:F88" si="4">E86*D86</f>
        <v>0</v>
      </c>
      <c r="G86" s="55"/>
      <c r="H86" s="18"/>
    </row>
    <row r="87" spans="1:16" ht="27" customHeight="1">
      <c r="A87" s="47">
        <v>2</v>
      </c>
      <c r="B87" s="158" t="s">
        <v>104</v>
      </c>
      <c r="C87" s="49" t="s">
        <v>42</v>
      </c>
      <c r="D87" s="86"/>
      <c r="E87" s="91">
        <v>0</v>
      </c>
      <c r="F87" s="124">
        <f t="shared" si="4"/>
        <v>0</v>
      </c>
      <c r="G87" s="55"/>
      <c r="H87" s="18"/>
    </row>
    <row r="88" spans="1:16" ht="27" customHeight="1">
      <c r="A88" s="47">
        <v>3</v>
      </c>
      <c r="B88" s="48" t="s">
        <v>105</v>
      </c>
      <c r="C88" s="49" t="s">
        <v>42</v>
      </c>
      <c r="D88" s="86"/>
      <c r="E88" s="91">
        <v>0</v>
      </c>
      <c r="F88" s="124">
        <f t="shared" si="4"/>
        <v>0</v>
      </c>
      <c r="G88" s="55"/>
      <c r="H88" s="18"/>
    </row>
    <row r="89" spans="1:16" ht="27" customHeight="1">
      <c r="A89" s="47">
        <v>4</v>
      </c>
      <c r="B89" s="48" t="s">
        <v>106</v>
      </c>
      <c r="C89" s="49" t="s">
        <v>40</v>
      </c>
      <c r="D89" s="86"/>
      <c r="E89" s="91">
        <v>0</v>
      </c>
      <c r="F89" s="124">
        <f>E89*D89</f>
        <v>0</v>
      </c>
      <c r="G89" s="111"/>
      <c r="H89" s="18"/>
    </row>
    <row r="90" spans="1:16" ht="27" customHeight="1">
      <c r="A90" s="47">
        <v>5</v>
      </c>
      <c r="B90" s="48" t="s">
        <v>107</v>
      </c>
      <c r="C90" s="49" t="s">
        <v>108</v>
      </c>
      <c r="D90" s="86"/>
      <c r="E90" s="91">
        <v>0</v>
      </c>
      <c r="F90" s="124">
        <f>E90*D90</f>
        <v>0</v>
      </c>
      <c r="G90" s="111"/>
      <c r="H90" s="18"/>
    </row>
    <row r="91" spans="1:16" ht="27" customHeight="1">
      <c r="A91" s="47">
        <v>6</v>
      </c>
      <c r="B91" s="48" t="s">
        <v>109</v>
      </c>
      <c r="C91" s="49" t="s">
        <v>42</v>
      </c>
      <c r="D91" s="86"/>
      <c r="E91" s="91">
        <v>0</v>
      </c>
      <c r="F91" s="124">
        <f>E91*D91</f>
        <v>0</v>
      </c>
      <c r="G91" s="55"/>
      <c r="H91" s="18"/>
    </row>
    <row r="92" spans="1:16" ht="27" customHeight="1">
      <c r="A92" s="47">
        <v>7</v>
      </c>
      <c r="B92" s="158" t="s">
        <v>110</v>
      </c>
      <c r="C92" s="49" t="s">
        <v>40</v>
      </c>
      <c r="D92" s="86"/>
      <c r="E92" s="91">
        <v>0</v>
      </c>
      <c r="F92" s="124">
        <f>E92*D92</f>
        <v>0</v>
      </c>
      <c r="G92" s="55"/>
    </row>
    <row r="93" spans="1:16" ht="20.100000000000001" customHeight="1">
      <c r="A93" s="47"/>
      <c r="B93" s="158"/>
      <c r="C93" s="49"/>
      <c r="D93" s="86"/>
      <c r="E93" s="91"/>
      <c r="F93" s="124"/>
      <c r="G93" s="55"/>
      <c r="H93" s="20"/>
      <c r="P93" s="30"/>
    </row>
    <row r="94" spans="1:16" ht="27" customHeight="1" thickBot="1">
      <c r="A94" s="58"/>
      <c r="B94" s="159" t="s">
        <v>76</v>
      </c>
      <c r="C94" s="160"/>
      <c r="D94" s="161"/>
      <c r="E94" s="104"/>
      <c r="F94" s="162">
        <f>SUM(F86:F92)</f>
        <v>0</v>
      </c>
      <c r="G94" s="163"/>
      <c r="H94" s="20"/>
      <c r="P94" s="30"/>
    </row>
    <row r="95" spans="1:16" ht="30" customHeight="1" thickBot="1">
      <c r="A95" s="21" t="s">
        <v>111</v>
      </c>
      <c r="B95" s="22" t="s">
        <v>112</v>
      </c>
      <c r="C95" s="23"/>
      <c r="D95" s="24"/>
      <c r="E95" s="25"/>
      <c r="F95" s="74">
        <f>F104</f>
        <v>0</v>
      </c>
      <c r="G95" s="27"/>
      <c r="H95" s="20"/>
      <c r="P95" s="30"/>
    </row>
    <row r="96" spans="1:16" ht="27" customHeight="1">
      <c r="A96" s="32" t="s">
        <v>11</v>
      </c>
      <c r="B96" s="33" t="s">
        <v>12</v>
      </c>
      <c r="C96" s="33" t="s">
        <v>13</v>
      </c>
      <c r="D96" s="34" t="s">
        <v>14</v>
      </c>
      <c r="E96" s="35" t="s">
        <v>15</v>
      </c>
      <c r="F96" s="33" t="s">
        <v>16</v>
      </c>
      <c r="G96" s="36" t="s">
        <v>17</v>
      </c>
      <c r="H96" s="20"/>
      <c r="P96" s="30"/>
    </row>
    <row r="97" spans="1:16" ht="27" customHeight="1">
      <c r="A97" s="164">
        <v>1</v>
      </c>
      <c r="B97" s="165" t="s">
        <v>113</v>
      </c>
      <c r="C97" s="49" t="s">
        <v>40</v>
      </c>
      <c r="D97" s="83"/>
      <c r="E97" s="166">
        <v>0</v>
      </c>
      <c r="F97" s="124">
        <f>E97*D97</f>
        <v>0</v>
      </c>
      <c r="G97" s="55"/>
      <c r="H97" s="20"/>
      <c r="L97" s="29"/>
      <c r="M97" s="30"/>
      <c r="P97" s="30"/>
    </row>
    <row r="98" spans="1:16" ht="27" customHeight="1">
      <c r="A98" s="164">
        <v>2</v>
      </c>
      <c r="B98" s="48" t="s">
        <v>114</v>
      </c>
      <c r="C98" s="49" t="s">
        <v>40</v>
      </c>
      <c r="D98" s="83"/>
      <c r="E98" s="166">
        <v>0</v>
      </c>
      <c r="F98" s="124">
        <f>E98*D98</f>
        <v>0</v>
      </c>
      <c r="G98" s="55"/>
      <c r="H98" s="20"/>
      <c r="L98" s="29"/>
      <c r="M98" s="30"/>
      <c r="P98" s="30"/>
    </row>
    <row r="99" spans="1:16" ht="27" customHeight="1">
      <c r="A99" s="164">
        <v>3</v>
      </c>
      <c r="B99" s="165" t="s">
        <v>115</v>
      </c>
      <c r="C99" s="49" t="s">
        <v>42</v>
      </c>
      <c r="D99" s="83"/>
      <c r="E99" s="166">
        <v>0</v>
      </c>
      <c r="F99" s="124">
        <f>E99*D99</f>
        <v>0</v>
      </c>
      <c r="G99" s="55"/>
      <c r="H99" s="265"/>
      <c r="I99" s="265"/>
      <c r="J99" s="265"/>
      <c r="K99" s="265"/>
      <c r="L99" s="265"/>
      <c r="M99" s="265"/>
      <c r="P99" s="30"/>
    </row>
    <row r="100" spans="1:16" ht="27" customHeight="1" thickBot="1">
      <c r="A100" s="164">
        <v>4</v>
      </c>
      <c r="B100" s="165" t="s">
        <v>116</v>
      </c>
      <c r="C100" s="49" t="s">
        <v>40</v>
      </c>
      <c r="D100" s="83"/>
      <c r="E100" s="166">
        <v>0</v>
      </c>
      <c r="F100" s="124">
        <f>E100*D100</f>
        <v>0</v>
      </c>
      <c r="G100" s="155"/>
      <c r="H100" s="20"/>
      <c r="L100" s="29"/>
      <c r="M100" s="30"/>
      <c r="P100" s="30"/>
    </row>
    <row r="101" spans="1:16" ht="27" customHeight="1">
      <c r="A101" s="164">
        <v>5</v>
      </c>
      <c r="B101" s="165" t="s">
        <v>117</v>
      </c>
      <c r="C101" s="49" t="s">
        <v>42</v>
      </c>
      <c r="D101" s="83"/>
      <c r="E101" s="166">
        <v>0</v>
      </c>
      <c r="F101" s="124">
        <f t="shared" ref="F101" si="5">E101*D101</f>
        <v>0</v>
      </c>
      <c r="G101" s="111"/>
      <c r="H101" s="20"/>
      <c r="I101" s="266" t="s">
        <v>118</v>
      </c>
      <c r="J101" s="267"/>
      <c r="K101" s="267"/>
      <c r="L101" s="267"/>
      <c r="M101" s="268"/>
      <c r="N101" s="28"/>
      <c r="O101" s="29"/>
      <c r="P101" s="30"/>
    </row>
    <row r="102" spans="1:16" ht="27" customHeight="1" thickBot="1">
      <c r="A102" s="164">
        <v>6</v>
      </c>
      <c r="B102" s="165" t="s">
        <v>119</v>
      </c>
      <c r="C102" s="49" t="s">
        <v>40</v>
      </c>
      <c r="D102" s="86"/>
      <c r="E102" s="166">
        <v>0</v>
      </c>
      <c r="F102" s="124">
        <f>E102*D102</f>
        <v>0</v>
      </c>
      <c r="G102" s="132"/>
      <c r="H102" s="20"/>
      <c r="I102" s="249" t="s">
        <v>120</v>
      </c>
      <c r="J102" s="250"/>
      <c r="K102" s="250"/>
      <c r="L102" s="250"/>
      <c r="M102" s="251"/>
      <c r="N102" s="28"/>
      <c r="O102" s="29"/>
      <c r="P102" s="30"/>
    </row>
    <row r="103" spans="1:16" ht="20.100000000000001" customHeight="1">
      <c r="A103" s="169"/>
      <c r="B103" s="170"/>
      <c r="C103" s="171"/>
      <c r="D103" s="129"/>
      <c r="E103" s="172"/>
      <c r="F103" s="131"/>
      <c r="G103" s="132"/>
      <c r="H103" s="20"/>
      <c r="I103" s="252" t="s">
        <v>45</v>
      </c>
      <c r="J103" s="253"/>
      <c r="K103" s="253"/>
      <c r="L103" s="57" t="s">
        <v>121</v>
      </c>
      <c r="M103" s="173" t="s">
        <v>122</v>
      </c>
      <c r="N103" s="20"/>
      <c r="O103" s="29"/>
      <c r="P103" s="30"/>
    </row>
    <row r="104" spans="1:16" ht="27" customHeight="1" thickBot="1">
      <c r="A104" s="174"/>
      <c r="B104" s="175" t="s">
        <v>76</v>
      </c>
      <c r="C104" s="176"/>
      <c r="D104" s="177"/>
      <c r="E104" s="104"/>
      <c r="F104" s="105">
        <f>SUM(F97:F102)</f>
        <v>0</v>
      </c>
      <c r="G104" s="163"/>
      <c r="H104" s="20"/>
      <c r="I104" s="178">
        <v>1</v>
      </c>
      <c r="J104" s="179" t="s">
        <v>123</v>
      </c>
      <c r="K104" s="20">
        <v>20</v>
      </c>
      <c r="L104" s="53">
        <v>8000</v>
      </c>
      <c r="M104" s="180">
        <v>30000</v>
      </c>
      <c r="N104" s="20"/>
      <c r="O104" s="29"/>
      <c r="P104" s="30"/>
    </row>
    <row r="105" spans="1:16" ht="30" customHeight="1" thickBot="1">
      <c r="A105" s="21" t="s">
        <v>124</v>
      </c>
      <c r="B105" s="22" t="s">
        <v>125</v>
      </c>
      <c r="C105" s="23"/>
      <c r="D105" s="24"/>
      <c r="E105" s="25"/>
      <c r="F105" s="74">
        <f>F110</f>
        <v>0</v>
      </c>
      <c r="G105" s="27"/>
      <c r="H105" s="20"/>
      <c r="I105" s="181">
        <v>21</v>
      </c>
      <c r="J105" s="182" t="s">
        <v>123</v>
      </c>
      <c r="K105" s="183">
        <v>100</v>
      </c>
      <c r="L105" s="53">
        <v>9000</v>
      </c>
      <c r="M105" s="180">
        <v>30000</v>
      </c>
      <c r="N105" s="20"/>
      <c r="O105" s="29"/>
      <c r="P105" s="30"/>
    </row>
    <row r="106" spans="1:16" ht="27" customHeight="1">
      <c r="A106" s="32" t="s">
        <v>11</v>
      </c>
      <c r="B106" s="33" t="s">
        <v>12</v>
      </c>
      <c r="C106" s="33" t="s">
        <v>13</v>
      </c>
      <c r="D106" s="34" t="s">
        <v>14</v>
      </c>
      <c r="E106" s="35" t="s">
        <v>15</v>
      </c>
      <c r="F106" s="33" t="s">
        <v>16</v>
      </c>
      <c r="G106" s="36" t="s">
        <v>17</v>
      </c>
      <c r="H106" s="20"/>
      <c r="I106" s="184">
        <v>101</v>
      </c>
      <c r="J106" s="185" t="s">
        <v>123</v>
      </c>
      <c r="K106" s="186">
        <v>200</v>
      </c>
      <c r="L106" s="53">
        <f t="shared" ref="L106:L115" si="6">$L$105+4000*(K106-$K$105)/100</f>
        <v>13000</v>
      </c>
      <c r="M106" s="180">
        <f t="shared" ref="M106:M115" si="7">$M$105+5000*(K106-$K$105)/100</f>
        <v>35000</v>
      </c>
      <c r="N106" s="20"/>
      <c r="O106" s="29"/>
    </row>
    <row r="107" spans="1:16" ht="27" customHeight="1">
      <c r="A107" s="47">
        <v>1</v>
      </c>
      <c r="B107" s="48" t="s">
        <v>126</v>
      </c>
      <c r="C107" s="49" t="s">
        <v>42</v>
      </c>
      <c r="D107" s="50"/>
      <c r="E107" s="152">
        <v>0</v>
      </c>
      <c r="F107" s="187">
        <f>E107*D107</f>
        <v>0</v>
      </c>
      <c r="G107" s="55"/>
      <c r="H107" s="20"/>
      <c r="I107" s="181">
        <v>201</v>
      </c>
      <c r="J107" s="182" t="s">
        <v>123</v>
      </c>
      <c r="K107" s="183">
        <v>300</v>
      </c>
      <c r="L107" s="53">
        <f t="shared" si="6"/>
        <v>17000</v>
      </c>
      <c r="M107" s="180">
        <f t="shared" si="7"/>
        <v>40000</v>
      </c>
      <c r="N107" s="20"/>
      <c r="O107" s="29"/>
    </row>
    <row r="108" spans="1:16" ht="27" customHeight="1">
      <c r="A108" s="112">
        <v>2</v>
      </c>
      <c r="B108" s="188" t="s">
        <v>127</v>
      </c>
      <c r="C108" s="49" t="s">
        <v>42</v>
      </c>
      <c r="D108" s="189"/>
      <c r="E108" s="109">
        <v>0</v>
      </c>
      <c r="F108" s="117">
        <f>E108*D108</f>
        <v>0</v>
      </c>
      <c r="G108" s="55"/>
      <c r="H108" s="20"/>
      <c r="I108" s="178">
        <v>301</v>
      </c>
      <c r="J108" s="179" t="s">
        <v>123</v>
      </c>
      <c r="K108" s="190">
        <v>400</v>
      </c>
      <c r="L108" s="53">
        <f t="shared" si="6"/>
        <v>21000</v>
      </c>
      <c r="M108" s="180">
        <f t="shared" si="7"/>
        <v>45000</v>
      </c>
      <c r="N108" s="20"/>
      <c r="O108" s="29"/>
    </row>
    <row r="109" spans="1:16" ht="20.100000000000001" customHeight="1">
      <c r="A109" s="112"/>
      <c r="B109" s="188"/>
      <c r="C109" s="107"/>
      <c r="D109" s="189"/>
      <c r="E109" s="109"/>
      <c r="F109" s="117"/>
      <c r="G109" s="132"/>
      <c r="I109" s="181">
        <v>401</v>
      </c>
      <c r="J109" s="182" t="s">
        <v>123</v>
      </c>
      <c r="K109" s="183">
        <v>500</v>
      </c>
      <c r="L109" s="53">
        <f t="shared" si="6"/>
        <v>25000</v>
      </c>
      <c r="M109" s="180">
        <f t="shared" si="7"/>
        <v>50000</v>
      </c>
      <c r="N109" s="242" t="s">
        <v>128</v>
      </c>
      <c r="O109" s="243"/>
    </row>
    <row r="110" spans="1:16" ht="27" customHeight="1" thickBot="1">
      <c r="A110" s="58"/>
      <c r="B110" s="191" t="s">
        <v>47</v>
      </c>
      <c r="C110" s="102"/>
      <c r="D110" s="192"/>
      <c r="E110" s="193"/>
      <c r="F110" s="120">
        <f>SUM(F107:F108)</f>
        <v>0</v>
      </c>
      <c r="G110" s="163"/>
      <c r="I110" s="178">
        <v>501</v>
      </c>
      <c r="J110" s="179" t="s">
        <v>123</v>
      </c>
      <c r="K110" s="190">
        <v>600</v>
      </c>
      <c r="L110" s="53">
        <f t="shared" si="6"/>
        <v>29000</v>
      </c>
      <c r="M110" s="180">
        <f t="shared" si="7"/>
        <v>55000</v>
      </c>
      <c r="N110" s="194"/>
      <c r="O110" s="20"/>
    </row>
    <row r="111" spans="1:16" ht="30" customHeight="1" thickBot="1">
      <c r="A111" s="195" t="s">
        <v>129</v>
      </c>
      <c r="B111" s="196" t="s">
        <v>130</v>
      </c>
      <c r="C111" s="197"/>
      <c r="D111" s="198"/>
      <c r="E111" s="199"/>
      <c r="F111" s="200">
        <f>F28+F36+F45+F51+F58+F83+F94+F104+F110</f>
        <v>0</v>
      </c>
      <c r="G111" s="27"/>
      <c r="I111" s="181">
        <v>601</v>
      </c>
      <c r="J111" s="182" t="s">
        <v>123</v>
      </c>
      <c r="K111" s="183">
        <v>700</v>
      </c>
      <c r="L111" s="53">
        <f t="shared" si="6"/>
        <v>33000</v>
      </c>
      <c r="M111" s="180">
        <f t="shared" si="7"/>
        <v>60000</v>
      </c>
      <c r="N111" s="20"/>
      <c r="O111" s="20"/>
    </row>
    <row r="112" spans="1:16" ht="30" customHeight="1" thickBot="1">
      <c r="A112" s="21" t="s">
        <v>131</v>
      </c>
      <c r="B112" s="22" t="s">
        <v>132</v>
      </c>
      <c r="C112" s="23"/>
      <c r="D112" s="24"/>
      <c r="E112" s="25"/>
      <c r="F112" s="26"/>
      <c r="G112" s="27"/>
      <c r="I112" s="178">
        <v>701</v>
      </c>
      <c r="J112" s="179" t="s">
        <v>123</v>
      </c>
      <c r="K112" s="190">
        <v>800</v>
      </c>
      <c r="L112" s="53">
        <f t="shared" si="6"/>
        <v>37000</v>
      </c>
      <c r="M112" s="180">
        <f t="shared" si="7"/>
        <v>65000</v>
      </c>
      <c r="N112" s="20"/>
      <c r="O112" s="20"/>
    </row>
    <row r="113" spans="1:15" ht="27" customHeight="1">
      <c r="A113" s="32" t="s">
        <v>11</v>
      </c>
      <c r="B113" s="33" t="s">
        <v>12</v>
      </c>
      <c r="C113" s="33" t="s">
        <v>13</v>
      </c>
      <c r="D113" s="34" t="s">
        <v>14</v>
      </c>
      <c r="E113" s="35" t="s">
        <v>15</v>
      </c>
      <c r="F113" s="33" t="s">
        <v>16</v>
      </c>
      <c r="G113" s="36" t="s">
        <v>17</v>
      </c>
      <c r="I113" s="181">
        <v>801</v>
      </c>
      <c r="J113" s="182" t="s">
        <v>123</v>
      </c>
      <c r="K113" s="183">
        <v>900</v>
      </c>
      <c r="L113" s="53">
        <f t="shared" si="6"/>
        <v>41000</v>
      </c>
      <c r="M113" s="180">
        <f t="shared" si="7"/>
        <v>70000</v>
      </c>
      <c r="N113" s="20">
        <v>999</v>
      </c>
      <c r="O113" s="20">
        <v>44960</v>
      </c>
    </row>
    <row r="114" spans="1:15" ht="27" customHeight="1">
      <c r="A114" s="47">
        <v>1</v>
      </c>
      <c r="B114" s="48" t="s">
        <v>133</v>
      </c>
      <c r="C114" s="49" t="s">
        <v>134</v>
      </c>
      <c r="D114" s="50"/>
      <c r="E114" s="152">
        <v>0</v>
      </c>
      <c r="F114" s="51"/>
      <c r="G114" s="111"/>
      <c r="I114" s="201">
        <v>901</v>
      </c>
      <c r="J114" s="202" t="s">
        <v>123</v>
      </c>
      <c r="K114" s="203">
        <v>1000</v>
      </c>
      <c r="L114" s="53">
        <f t="shared" si="6"/>
        <v>45000</v>
      </c>
      <c r="M114" s="180">
        <f t="shared" si="7"/>
        <v>75000</v>
      </c>
      <c r="N114" s="29"/>
      <c r="O114" s="30"/>
    </row>
    <row r="115" spans="1:15" ht="27" customHeight="1" thickBot="1">
      <c r="A115" s="47">
        <v>2</v>
      </c>
      <c r="B115" s="48" t="s">
        <v>135</v>
      </c>
      <c r="C115" s="49" t="s">
        <v>134</v>
      </c>
      <c r="D115" s="50"/>
      <c r="E115" s="152">
        <v>0</v>
      </c>
      <c r="F115" s="51"/>
      <c r="G115" s="55"/>
      <c r="I115" s="167">
        <v>1001</v>
      </c>
      <c r="J115" s="204" t="s">
        <v>123</v>
      </c>
      <c r="K115" s="168">
        <v>1100</v>
      </c>
      <c r="L115" s="56">
        <f t="shared" si="6"/>
        <v>49000</v>
      </c>
      <c r="M115" s="205">
        <f t="shared" si="7"/>
        <v>80000</v>
      </c>
    </row>
    <row r="116" spans="1:15" ht="27" customHeight="1">
      <c r="A116" s="47">
        <v>3</v>
      </c>
      <c r="B116" s="206" t="s">
        <v>136</v>
      </c>
      <c r="C116" s="49" t="s">
        <v>40</v>
      </c>
      <c r="D116" s="50"/>
      <c r="E116" s="152">
        <v>0</v>
      </c>
      <c r="F116" s="51"/>
      <c r="G116" s="55"/>
    </row>
    <row r="117" spans="1:15" ht="27" customHeight="1">
      <c r="A117" s="47">
        <v>4</v>
      </c>
      <c r="B117" s="207" t="s">
        <v>137</v>
      </c>
      <c r="C117" s="107" t="s">
        <v>40</v>
      </c>
      <c r="D117" s="189"/>
      <c r="E117" s="109">
        <v>0</v>
      </c>
      <c r="F117" s="110"/>
      <c r="G117" s="111"/>
    </row>
    <row r="118" spans="1:15" ht="27" customHeight="1">
      <c r="A118" s="47">
        <v>5</v>
      </c>
      <c r="B118" s="207" t="s">
        <v>138</v>
      </c>
      <c r="C118" s="107" t="str">
        <f>C117</f>
        <v>式</v>
      </c>
      <c r="D118" s="189"/>
      <c r="E118" s="109">
        <v>0</v>
      </c>
      <c r="F118" s="110"/>
      <c r="G118" s="55"/>
    </row>
    <row r="119" spans="1:15" ht="20.100000000000001" customHeight="1">
      <c r="A119" s="112"/>
      <c r="B119" s="207"/>
      <c r="C119" s="107"/>
      <c r="D119" s="189"/>
      <c r="E119" s="109"/>
      <c r="F119" s="110"/>
      <c r="G119" s="55"/>
    </row>
    <row r="120" spans="1:15" s="20" customFormat="1" ht="27" customHeight="1" thickBot="1">
      <c r="A120" s="58"/>
      <c r="B120" s="101" t="s">
        <v>76</v>
      </c>
      <c r="C120" s="56"/>
      <c r="D120" s="103"/>
      <c r="E120" s="208"/>
      <c r="F120" s="105"/>
      <c r="G120" s="163"/>
      <c r="H120" s="28"/>
      <c r="I120" s="28"/>
      <c r="J120" s="28"/>
      <c r="K120" s="29"/>
      <c r="L120" s="30"/>
    </row>
    <row r="121" spans="1:15" s="20" customFormat="1" ht="20.100000000000001" customHeight="1" thickBot="1">
      <c r="A121" s="244"/>
      <c r="B121" s="245"/>
      <c r="C121" s="209"/>
      <c r="D121" s="210"/>
      <c r="E121" s="211"/>
      <c r="F121" s="26"/>
      <c r="G121" s="27"/>
      <c r="H121" s="28"/>
      <c r="I121" s="28"/>
      <c r="J121" s="28"/>
      <c r="K121" s="29"/>
      <c r="L121" s="30"/>
    </row>
    <row r="122" spans="1:15" s="20" customFormat="1" ht="27" customHeight="1">
      <c r="A122" s="212"/>
      <c r="B122" s="213" t="s">
        <v>139</v>
      </c>
      <c r="C122" s="214"/>
      <c r="D122" s="215"/>
      <c r="E122" s="216"/>
      <c r="F122" s="217">
        <f>F111+F120</f>
        <v>0</v>
      </c>
      <c r="G122" s="218"/>
      <c r="H122" s="28"/>
      <c r="I122" s="28"/>
      <c r="J122" s="28"/>
      <c r="K122" s="29"/>
      <c r="L122" s="30"/>
    </row>
    <row r="123" spans="1:15" s="20" customFormat="1" ht="27" customHeight="1">
      <c r="A123" s="219"/>
      <c r="B123" s="220" t="s">
        <v>140</v>
      </c>
      <c r="C123" s="221"/>
      <c r="D123" s="222"/>
      <c r="E123" s="223"/>
      <c r="F123" s="224"/>
      <c r="G123" s="55"/>
      <c r="H123" s="28"/>
      <c r="I123" s="28"/>
      <c r="J123" s="28"/>
      <c r="K123" s="29"/>
      <c r="L123" s="30"/>
    </row>
    <row r="124" spans="1:15" s="20" customFormat="1" ht="27" customHeight="1" thickBot="1">
      <c r="A124" s="225"/>
      <c r="B124" s="226" t="s">
        <v>141</v>
      </c>
      <c r="C124" s="227"/>
      <c r="D124" s="228"/>
      <c r="E124" s="229"/>
      <c r="F124" s="230">
        <f>F122*1.05</f>
        <v>0</v>
      </c>
      <c r="G124" s="231"/>
      <c r="H124" s="28"/>
      <c r="I124" s="28"/>
      <c r="J124" s="28"/>
      <c r="K124" s="29"/>
      <c r="L124" s="30"/>
    </row>
    <row r="125" spans="1:15" s="20" customFormat="1" ht="17.25" customHeight="1">
      <c r="B125" s="18"/>
      <c r="C125" s="18"/>
      <c r="D125" s="232"/>
      <c r="E125" s="233"/>
      <c r="F125" s="14"/>
      <c r="G125" s="18"/>
      <c r="H125" s="28"/>
      <c r="I125" s="28"/>
      <c r="J125" s="28"/>
      <c r="K125" s="29"/>
      <c r="L125" s="30"/>
    </row>
    <row r="126" spans="1:15" s="20" customFormat="1" ht="17.25" customHeight="1">
      <c r="A126" s="14" t="s">
        <v>142</v>
      </c>
      <c r="B126" s="234"/>
      <c r="C126" s="235" t="s">
        <v>143</v>
      </c>
      <c r="D126" s="236"/>
      <c r="E126" s="237"/>
      <c r="F126" s="238" t="s">
        <v>144</v>
      </c>
      <c r="G126" s="30"/>
      <c r="H126" s="28"/>
      <c r="I126" s="28"/>
      <c r="J126" s="28"/>
      <c r="K126" s="29"/>
      <c r="L126" s="30"/>
    </row>
    <row r="127" spans="1:15" s="20" customFormat="1" ht="17.25" customHeight="1">
      <c r="B127" s="234"/>
      <c r="C127" s="30"/>
      <c r="D127" s="236"/>
      <c r="E127" s="237"/>
      <c r="F127" s="238"/>
      <c r="G127" s="18"/>
      <c r="H127" s="28"/>
      <c r="I127" s="28"/>
      <c r="J127" s="28"/>
      <c r="K127" s="29"/>
      <c r="L127" s="30"/>
    </row>
    <row r="128" spans="1:15" s="20" customFormat="1" ht="17.25" customHeight="1">
      <c r="B128" s="234"/>
      <c r="C128" s="235"/>
      <c r="D128" s="239"/>
      <c r="E128" s="237"/>
      <c r="F128" s="238"/>
      <c r="G128" s="18"/>
      <c r="H128" s="28"/>
      <c r="I128" s="28"/>
      <c r="J128" s="28"/>
      <c r="K128" s="29"/>
      <c r="L128" s="30"/>
    </row>
    <row r="129" spans="1:12" s="20" customFormat="1" ht="17.25" customHeight="1">
      <c r="A129" s="238" t="s">
        <v>145</v>
      </c>
      <c r="B129" s="30"/>
      <c r="C129" s="246" t="s">
        <v>146</v>
      </c>
      <c r="D129" s="246"/>
      <c r="E129" s="233"/>
      <c r="F129" s="14" t="s">
        <v>147</v>
      </c>
      <c r="G129" s="14"/>
      <c r="H129" s="28"/>
      <c r="I129" s="28"/>
      <c r="J129" s="28"/>
      <c r="K129" s="29"/>
      <c r="L129" s="30"/>
    </row>
    <row r="130" spans="1:12" s="20" customFormat="1" ht="17.25" customHeight="1">
      <c r="A130" s="4"/>
      <c r="B130" s="18"/>
      <c r="C130" s="18"/>
      <c r="D130" s="232"/>
      <c r="E130" s="233"/>
      <c r="F130" s="14"/>
      <c r="G130" s="18"/>
      <c r="H130" s="28"/>
      <c r="I130" s="28"/>
      <c r="J130" s="28"/>
      <c r="K130" s="29"/>
      <c r="L130" s="30"/>
    </row>
    <row r="131" spans="1:12" s="20" customFormat="1" ht="17.25" customHeight="1">
      <c r="A131" s="4"/>
      <c r="B131" s="18"/>
      <c r="C131" s="18"/>
      <c r="D131" s="232"/>
      <c r="E131" s="233"/>
      <c r="F131" s="14"/>
      <c r="G131" s="18"/>
      <c r="H131" s="28"/>
      <c r="I131" s="28"/>
      <c r="J131" s="28"/>
      <c r="K131" s="29"/>
      <c r="L131" s="30"/>
    </row>
    <row r="132" spans="1:12" s="20" customFormat="1" ht="17.25" customHeight="1">
      <c r="A132" s="238" t="s">
        <v>148</v>
      </c>
      <c r="B132" s="18"/>
      <c r="C132" s="247" t="s">
        <v>149</v>
      </c>
      <c r="D132" s="247"/>
      <c r="E132" s="233"/>
      <c r="F132" s="248" t="s">
        <v>150</v>
      </c>
      <c r="G132" s="18"/>
      <c r="H132" s="28"/>
      <c r="I132" s="28"/>
      <c r="J132" s="28"/>
      <c r="K132" s="29"/>
      <c r="L132" s="30"/>
    </row>
    <row r="133" spans="1:12" s="20" customFormat="1" ht="17.25" customHeight="1">
      <c r="A133" s="238"/>
      <c r="B133" s="18"/>
      <c r="C133" s="18"/>
      <c r="D133" s="232"/>
      <c r="E133" s="233"/>
      <c r="F133" s="248"/>
      <c r="G133" s="18"/>
      <c r="H133" s="28"/>
      <c r="I133" s="28"/>
      <c r="J133" s="28"/>
      <c r="K133" s="29"/>
      <c r="L133" s="30"/>
    </row>
  </sheetData>
  <dataConsolidate/>
  <mergeCells count="20">
    <mergeCell ref="A1:B1"/>
    <mergeCell ref="B4:D4"/>
    <mergeCell ref="C62:C64"/>
    <mergeCell ref="D62:D64"/>
    <mergeCell ref="E62:E64"/>
    <mergeCell ref="F62:F64"/>
    <mergeCell ref="G62:G64"/>
    <mergeCell ref="C68:C75"/>
    <mergeCell ref="D68:D75"/>
    <mergeCell ref="E68:E75"/>
    <mergeCell ref="F68:F75"/>
    <mergeCell ref="H99:M99"/>
    <mergeCell ref="I101:M101"/>
    <mergeCell ref="I102:M102"/>
    <mergeCell ref="I103:K103"/>
    <mergeCell ref="N109:O109"/>
    <mergeCell ref="A121:B121"/>
    <mergeCell ref="C129:D129"/>
    <mergeCell ref="C132:D132"/>
    <mergeCell ref="F132:F133"/>
  </mergeCells>
  <phoneticPr fontId="4" type="noConversion"/>
  <printOptions horizontalCentered="1"/>
  <pageMargins left="0.11811023622047245" right="0.11811023622047245" top="0" bottom="0.19685039370078741" header="0.31496062992125984" footer="0.31496062992125984"/>
  <pageSetup paperSize="9" scale="39" fitToHeight="0" orientation="portrait" r:id="rId1"/>
  <rowBreaks count="2" manualBreakCount="2">
    <brk id="58" max="19" man="1"/>
    <brk id="104" max="1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工程預算書</vt:lpstr>
      <vt:lpstr>工程預算書!Print_Area</vt:lpstr>
      <vt:lpstr>工程預算書!Print_Titles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2026-06-10T05:27:49Z</dcterms:created>
  <dcterms:modified xsi:type="dcterms:W3CDTF">2026-06-10T05:29:00Z</dcterms:modified>
</cp:coreProperties>
</file>